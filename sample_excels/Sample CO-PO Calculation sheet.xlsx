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ndeep\NITC_Faculty\2025-26\Winter_2025-26\Extra\"/>
    </mc:Choice>
  </mc:AlternateContent>
  <xr:revisionPtr revIDLastSave="0" documentId="13_ncr:1_{C2F30EDA-6F55-4B58-9EFF-2A52CFB204DD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Step 1 - Assessment Plan" sheetId="1" r:id="rId1"/>
    <sheet name="Print Page" sheetId="2" r:id="rId2"/>
    <sheet name="Front page" sheetId="3" r:id="rId3"/>
    <sheet name="Step 3-Course - PO Mapping" sheetId="4" state="hidden" r:id="rId4"/>
    <sheet name="CO Assessment" sheetId="5" r:id="rId5"/>
    <sheet name="CO-PO Attainment Endsem" sheetId="7" state="hidden" r:id="rId6"/>
    <sheet name="CO-PO Direct Attainment" sheetId="8" r:id="rId7"/>
    <sheet name="Direct Attainment" sheetId="9" state="hidden" r:id="rId8"/>
    <sheet name="CO-PO Indirect Attainment" sheetId="10" r:id="rId9"/>
    <sheet name="FInal Attainment" sheetId="11" state="hidden" r:id="rId10"/>
  </sheets>
  <calcPr calcId="191029"/>
  <extLst>
    <ext uri="GoogleSheetsCustomDataVersion2">
      <go:sheetsCustomData xmlns:go="http://customooxmlschemas.google.com/" r:id="rId15" roundtripDataChecksum="gs1OFhiz0wdzUMPIkv4Z7i9EbkoO2CK/ZjDNND1deVk="/>
    </ext>
  </extLst>
</workbook>
</file>

<file path=xl/calcChain.xml><?xml version="1.0" encoding="utf-8"?>
<calcChain xmlns="http://schemas.openxmlformats.org/spreadsheetml/2006/main">
  <c r="CB9" i="5" l="1"/>
  <c r="CB10" i="5"/>
  <c r="CB11" i="5"/>
  <c r="CB12" i="5"/>
  <c r="CB13" i="5"/>
  <c r="CB14" i="5"/>
  <c r="CB15" i="5"/>
  <c r="CB16" i="5"/>
  <c r="CB17" i="5"/>
  <c r="CB18" i="5"/>
  <c r="CB19" i="5"/>
  <c r="CB20" i="5"/>
  <c r="CB21" i="5"/>
  <c r="CB22" i="5"/>
  <c r="CB23" i="5"/>
  <c r="CB24" i="5"/>
  <c r="CB25" i="5"/>
  <c r="CB26" i="5"/>
  <c r="CB27" i="5"/>
  <c r="CB28" i="5"/>
  <c r="CB29" i="5"/>
  <c r="CB30" i="5"/>
  <c r="CB31" i="5"/>
  <c r="CB32" i="5"/>
  <c r="CB33" i="5"/>
  <c r="CB34" i="5"/>
  <c r="CB8" i="5"/>
  <c r="BX9" i="5"/>
  <c r="BX10" i="5"/>
  <c r="BX11" i="5"/>
  <c r="BX12" i="5"/>
  <c r="BX13" i="5"/>
  <c r="BX14" i="5"/>
  <c r="BX15" i="5"/>
  <c r="BX16" i="5"/>
  <c r="BX17" i="5"/>
  <c r="BX18" i="5"/>
  <c r="BX19" i="5"/>
  <c r="BX20" i="5"/>
  <c r="BX21" i="5"/>
  <c r="BX22" i="5"/>
  <c r="BX23" i="5"/>
  <c r="BX24" i="5"/>
  <c r="BX25" i="5"/>
  <c r="BX26" i="5"/>
  <c r="BX27" i="5"/>
  <c r="BX28" i="5"/>
  <c r="BX29" i="5"/>
  <c r="BX30" i="5"/>
  <c r="BX31" i="5"/>
  <c r="BX32" i="5"/>
  <c r="BX33" i="5"/>
  <c r="BX34" i="5"/>
  <c r="BX8" i="5"/>
  <c r="BT9" i="5"/>
  <c r="BT10" i="5"/>
  <c r="BT11" i="5"/>
  <c r="BT12" i="5"/>
  <c r="BT13" i="5"/>
  <c r="BT14" i="5"/>
  <c r="BT15" i="5"/>
  <c r="BT16" i="5"/>
  <c r="BT17" i="5"/>
  <c r="BT18" i="5"/>
  <c r="BT19" i="5"/>
  <c r="BT20" i="5"/>
  <c r="BT21" i="5"/>
  <c r="BT22" i="5"/>
  <c r="BT23" i="5"/>
  <c r="BT24" i="5"/>
  <c r="BT25" i="5"/>
  <c r="BT26" i="5"/>
  <c r="BT27" i="5"/>
  <c r="BT28" i="5"/>
  <c r="BT29" i="5"/>
  <c r="BT30" i="5"/>
  <c r="BT31" i="5"/>
  <c r="BT32" i="5"/>
  <c r="BT33" i="5"/>
  <c r="BT34" i="5"/>
  <c r="BT8" i="5"/>
  <c r="BP9" i="5"/>
  <c r="BP10" i="5"/>
  <c r="BP11" i="5"/>
  <c r="BP12" i="5"/>
  <c r="BP13" i="5"/>
  <c r="BP14" i="5"/>
  <c r="BP15" i="5"/>
  <c r="BP16" i="5"/>
  <c r="BP17" i="5"/>
  <c r="BP18" i="5"/>
  <c r="BP19" i="5"/>
  <c r="BP20" i="5"/>
  <c r="BP21" i="5"/>
  <c r="BP22" i="5"/>
  <c r="BP23" i="5"/>
  <c r="BP24" i="5"/>
  <c r="BP25" i="5"/>
  <c r="BP26" i="5"/>
  <c r="BP27" i="5"/>
  <c r="BP28" i="5"/>
  <c r="BP29" i="5"/>
  <c r="BP30" i="5"/>
  <c r="BP31" i="5"/>
  <c r="BP32" i="5"/>
  <c r="BP33" i="5"/>
  <c r="BP34" i="5"/>
  <c r="BP8" i="5"/>
  <c r="BL9" i="5"/>
  <c r="BL10" i="5"/>
  <c r="BL11" i="5"/>
  <c r="BL12" i="5"/>
  <c r="BL13" i="5"/>
  <c r="BL14" i="5"/>
  <c r="BL15" i="5"/>
  <c r="BL16" i="5"/>
  <c r="BL17" i="5"/>
  <c r="BL18" i="5"/>
  <c r="BL19" i="5"/>
  <c r="BL20" i="5"/>
  <c r="BL21" i="5"/>
  <c r="BL22" i="5"/>
  <c r="BL23" i="5"/>
  <c r="BL24" i="5"/>
  <c r="BL25" i="5"/>
  <c r="BL26" i="5"/>
  <c r="BL27" i="5"/>
  <c r="BL28" i="5"/>
  <c r="BL29" i="5"/>
  <c r="BL30" i="5"/>
  <c r="BL31" i="5"/>
  <c r="BL32" i="5"/>
  <c r="BL33" i="5"/>
  <c r="BL34" i="5"/>
  <c r="BL8" i="5"/>
  <c r="BF9" i="5"/>
  <c r="BF10" i="5"/>
  <c r="BF11" i="5"/>
  <c r="BF12" i="5"/>
  <c r="BF13" i="5"/>
  <c r="BF14" i="5"/>
  <c r="BF15" i="5"/>
  <c r="BF16" i="5"/>
  <c r="BV16" i="5" s="1"/>
  <c r="BF17" i="5"/>
  <c r="BF18" i="5"/>
  <c r="BF19" i="5"/>
  <c r="BF20" i="5"/>
  <c r="BF21" i="5"/>
  <c r="BF22" i="5"/>
  <c r="BF23" i="5"/>
  <c r="BF24" i="5"/>
  <c r="BV24" i="5" s="1"/>
  <c r="BF25" i="5"/>
  <c r="BF26" i="5"/>
  <c r="BF27" i="5"/>
  <c r="BF28" i="5"/>
  <c r="BF29" i="5"/>
  <c r="BF30" i="5"/>
  <c r="BF31" i="5"/>
  <c r="BF32" i="5"/>
  <c r="BV32" i="5" s="1"/>
  <c r="BF33" i="5"/>
  <c r="BF34" i="5"/>
  <c r="BF8" i="5"/>
  <c r="BD9" i="5"/>
  <c r="BD10" i="5"/>
  <c r="BD11" i="5"/>
  <c r="BD12" i="5"/>
  <c r="BD13" i="5"/>
  <c r="BD14" i="5"/>
  <c r="BD15" i="5"/>
  <c r="BD16" i="5"/>
  <c r="BR16" i="5" s="1"/>
  <c r="BD17" i="5"/>
  <c r="BD18" i="5"/>
  <c r="BD19" i="5"/>
  <c r="BD20" i="5"/>
  <c r="BD21" i="5"/>
  <c r="BD22" i="5"/>
  <c r="BD23" i="5"/>
  <c r="BD24" i="5"/>
  <c r="BR24" i="5" s="1"/>
  <c r="BD25" i="5"/>
  <c r="BD26" i="5"/>
  <c r="BD27" i="5"/>
  <c r="BD28" i="5"/>
  <c r="BD29" i="5"/>
  <c r="BD30" i="5"/>
  <c r="BD31" i="5"/>
  <c r="BD32" i="5"/>
  <c r="BR32" i="5" s="1"/>
  <c r="BD33" i="5"/>
  <c r="BD34" i="5"/>
  <c r="BD8" i="5"/>
  <c r="BB9" i="5"/>
  <c r="BB10" i="5"/>
  <c r="BB11" i="5"/>
  <c r="BB12" i="5"/>
  <c r="BB13" i="5"/>
  <c r="BB14" i="5"/>
  <c r="BB15" i="5"/>
  <c r="BN15" i="5" s="1"/>
  <c r="BB16" i="5"/>
  <c r="BB17" i="5"/>
  <c r="BB18" i="5"/>
  <c r="BB19" i="5"/>
  <c r="BB20" i="5"/>
  <c r="BB21" i="5"/>
  <c r="BB22" i="5"/>
  <c r="BB23" i="5"/>
  <c r="BN23" i="5" s="1"/>
  <c r="BB24" i="5"/>
  <c r="BB25" i="5"/>
  <c r="BB26" i="5"/>
  <c r="BB27" i="5"/>
  <c r="BB28" i="5"/>
  <c r="BB29" i="5"/>
  <c r="BB30" i="5"/>
  <c r="BB31" i="5"/>
  <c r="BN31" i="5" s="1"/>
  <c r="BB32" i="5"/>
  <c r="BB33" i="5"/>
  <c r="BB34" i="5"/>
  <c r="BB8" i="5"/>
  <c r="AZ9" i="5"/>
  <c r="AZ10" i="5"/>
  <c r="AZ11" i="5"/>
  <c r="AZ12" i="5"/>
  <c r="AZ13" i="5"/>
  <c r="AZ14" i="5"/>
  <c r="AZ15" i="5"/>
  <c r="BJ15" i="5" s="1"/>
  <c r="AZ16" i="5"/>
  <c r="AZ17" i="5"/>
  <c r="AZ18" i="5"/>
  <c r="AZ19" i="5"/>
  <c r="AZ20" i="5"/>
  <c r="AZ21" i="5"/>
  <c r="AZ22" i="5"/>
  <c r="AZ23" i="5"/>
  <c r="BJ23" i="5" s="1"/>
  <c r="AZ24" i="5"/>
  <c r="AZ25" i="5"/>
  <c r="AZ26" i="5"/>
  <c r="AZ27" i="5"/>
  <c r="AZ28" i="5"/>
  <c r="AZ29" i="5"/>
  <c r="AZ30" i="5"/>
  <c r="AZ31" i="5"/>
  <c r="BJ31" i="5" s="1"/>
  <c r="AZ32" i="5"/>
  <c r="AZ33" i="5"/>
  <c r="AZ34" i="5"/>
  <c r="AZ8" i="5"/>
  <c r="BE7" i="5"/>
  <c r="BA7" i="5"/>
  <c r="AY7" i="5"/>
  <c r="BI7" i="5" s="1"/>
  <c r="BC7" i="5"/>
  <c r="X228" i="5"/>
  <c r="AW227" i="5"/>
  <c r="AW226" i="5"/>
  <c r="AW225" i="5"/>
  <c r="AW224" i="5"/>
  <c r="AW223" i="5"/>
  <c r="AW222" i="5"/>
  <c r="AW221" i="5"/>
  <c r="AW220" i="5"/>
  <c r="AW219" i="5"/>
  <c r="AW218" i="5"/>
  <c r="AW217" i="5"/>
  <c r="AW216" i="5"/>
  <c r="AW215" i="5"/>
  <c r="AW214" i="5"/>
  <c r="AW213" i="5"/>
  <c r="AW212" i="5"/>
  <c r="AW211" i="5"/>
  <c r="AW210" i="5"/>
  <c r="AW209" i="5"/>
  <c r="AW208" i="5"/>
  <c r="AW207" i="5"/>
  <c r="AW206" i="5"/>
  <c r="AW205" i="5"/>
  <c r="AW204" i="5"/>
  <c r="AW203" i="5"/>
  <c r="AW202" i="5"/>
  <c r="AW201" i="5"/>
  <c r="AW200" i="5"/>
  <c r="AW199" i="5"/>
  <c r="AW198" i="5"/>
  <c r="AW197" i="5"/>
  <c r="AW196" i="5"/>
  <c r="AW195" i="5"/>
  <c r="AW194" i="5"/>
  <c r="AW193" i="5"/>
  <c r="AW192" i="5"/>
  <c r="AW191" i="5"/>
  <c r="AW190" i="5"/>
  <c r="AW189" i="5"/>
  <c r="AW188" i="5"/>
  <c r="AW187" i="5"/>
  <c r="AW186" i="5"/>
  <c r="AW185" i="5"/>
  <c r="AW184" i="5"/>
  <c r="AW183" i="5"/>
  <c r="AW182" i="5"/>
  <c r="AW181" i="5"/>
  <c r="AW180" i="5"/>
  <c r="AW179" i="5"/>
  <c r="AW178" i="5"/>
  <c r="AW177" i="5"/>
  <c r="AW176" i="5"/>
  <c r="AW175" i="5"/>
  <c r="AW174" i="5"/>
  <c r="AW173" i="5"/>
  <c r="AW172" i="5"/>
  <c r="AW171" i="5"/>
  <c r="AW170" i="5"/>
  <c r="AW169" i="5"/>
  <c r="AW168" i="5"/>
  <c r="AW167" i="5"/>
  <c r="AW166" i="5"/>
  <c r="AW165" i="5"/>
  <c r="AW164" i="5"/>
  <c r="AW163" i="5"/>
  <c r="AW162" i="5"/>
  <c r="AW161" i="5"/>
  <c r="AW160" i="5"/>
  <c r="AW159" i="5"/>
  <c r="AW158" i="5"/>
  <c r="AW157" i="5"/>
  <c r="AW156" i="5"/>
  <c r="AW155" i="5"/>
  <c r="AW154" i="5"/>
  <c r="AW153" i="5"/>
  <c r="AW152" i="5"/>
  <c r="AW151" i="5"/>
  <c r="AW150" i="5"/>
  <c r="AW149" i="5"/>
  <c r="AW148" i="5"/>
  <c r="AW147" i="5"/>
  <c r="AW146" i="5"/>
  <c r="AW145" i="5"/>
  <c r="AW144" i="5"/>
  <c r="AW143" i="5"/>
  <c r="AW142" i="5"/>
  <c r="AW141" i="5"/>
  <c r="AW140" i="5"/>
  <c r="AW139" i="5"/>
  <c r="AW138" i="5"/>
  <c r="AW137" i="5"/>
  <c r="AW136" i="5"/>
  <c r="AW135" i="5"/>
  <c r="AW134" i="5"/>
  <c r="AW133" i="5"/>
  <c r="AW132" i="5"/>
  <c r="AW131" i="5"/>
  <c r="AW130" i="5"/>
  <c r="AW129" i="5"/>
  <c r="AW128" i="5"/>
  <c r="AW127" i="5"/>
  <c r="AW126" i="5"/>
  <c r="AW125" i="5"/>
  <c r="AW124" i="5"/>
  <c r="AW123" i="5"/>
  <c r="AW122" i="5"/>
  <c r="AW121" i="5"/>
  <c r="AW120" i="5"/>
  <c r="AW119" i="5"/>
  <c r="AW118" i="5"/>
  <c r="AW117" i="5"/>
  <c r="AW116" i="5"/>
  <c r="AW115" i="5"/>
  <c r="AW114" i="5"/>
  <c r="AW113" i="5"/>
  <c r="AW112" i="5"/>
  <c r="AW111" i="5"/>
  <c r="AW110" i="5"/>
  <c r="AW109" i="5"/>
  <c r="AW108" i="5"/>
  <c r="AW107" i="5"/>
  <c r="AW106" i="5"/>
  <c r="AW105" i="5"/>
  <c r="AW104" i="5"/>
  <c r="AW103" i="5"/>
  <c r="AW102" i="5"/>
  <c r="AW101" i="5"/>
  <c r="AW100" i="5"/>
  <c r="AW99" i="5"/>
  <c r="AW98" i="5"/>
  <c r="AW97" i="5"/>
  <c r="AW96" i="5"/>
  <c r="AW95" i="5"/>
  <c r="AW94" i="5"/>
  <c r="AW93" i="5"/>
  <c r="AW92" i="5"/>
  <c r="AW91" i="5"/>
  <c r="AW90" i="5"/>
  <c r="AW89" i="5"/>
  <c r="AW88" i="5"/>
  <c r="AW87" i="5"/>
  <c r="AW86" i="5"/>
  <c r="AW85" i="5"/>
  <c r="AW84" i="5"/>
  <c r="AW83" i="5"/>
  <c r="AW82" i="5"/>
  <c r="AW81" i="5"/>
  <c r="AW80" i="5"/>
  <c r="AW79" i="5"/>
  <c r="AW78" i="5"/>
  <c r="AW77" i="5"/>
  <c r="AW76" i="5"/>
  <c r="AW75" i="5"/>
  <c r="AW74" i="5"/>
  <c r="AW73" i="5"/>
  <c r="AW72" i="5"/>
  <c r="AW71" i="5"/>
  <c r="AW70" i="5"/>
  <c r="AW69" i="5"/>
  <c r="AW68" i="5"/>
  <c r="AW67" i="5"/>
  <c r="AW66" i="5"/>
  <c r="AW65" i="5"/>
  <c r="AW64" i="5"/>
  <c r="AW63" i="5"/>
  <c r="AW62" i="5"/>
  <c r="AW61" i="5"/>
  <c r="AW60" i="5"/>
  <c r="AW59" i="5"/>
  <c r="AW58" i="5"/>
  <c r="AW57" i="5"/>
  <c r="AW56" i="5"/>
  <c r="AW55" i="5"/>
  <c r="AW54" i="5"/>
  <c r="AW53" i="5"/>
  <c r="AW52" i="5"/>
  <c r="AW51" i="5"/>
  <c r="AW50" i="5"/>
  <c r="AW49" i="5"/>
  <c r="AW48" i="5"/>
  <c r="AW47" i="5"/>
  <c r="AW46" i="5"/>
  <c r="AW45" i="5"/>
  <c r="AW44" i="5"/>
  <c r="AW43" i="5"/>
  <c r="AW42" i="5"/>
  <c r="AW41" i="5"/>
  <c r="AW40" i="5"/>
  <c r="AW34" i="5"/>
  <c r="AW33" i="5"/>
  <c r="AW32" i="5"/>
  <c r="AW31" i="5"/>
  <c r="AW30" i="5"/>
  <c r="AW29" i="5"/>
  <c r="AW28" i="5"/>
  <c r="AW27" i="5"/>
  <c r="AW26" i="5"/>
  <c r="AW25" i="5"/>
  <c r="AW24" i="5"/>
  <c r="AW23" i="5"/>
  <c r="AW22" i="5"/>
  <c r="AW21" i="5"/>
  <c r="AW20" i="5"/>
  <c r="AW19" i="5"/>
  <c r="AW18" i="5"/>
  <c r="AW17" i="5"/>
  <c r="AW16" i="5"/>
  <c r="AW15" i="5"/>
  <c r="AW14" i="5"/>
  <c r="AW13" i="5"/>
  <c r="AW12" i="5"/>
  <c r="AW11" i="5"/>
  <c r="AW10" i="5"/>
  <c r="AW9" i="5"/>
  <c r="AW8" i="5"/>
  <c r="AW6" i="5"/>
  <c r="BJ8" i="5"/>
  <c r="BN8" i="5"/>
  <c r="BR8" i="5"/>
  <c r="BJ9" i="5"/>
  <c r="BV9" i="5"/>
  <c r="BJ10" i="5"/>
  <c r="BN10" i="5"/>
  <c r="BJ11" i="5"/>
  <c r="BV11" i="5"/>
  <c r="BJ12" i="5"/>
  <c r="BN12" i="5"/>
  <c r="BJ13" i="5"/>
  <c r="BN13" i="5"/>
  <c r="BJ14" i="5"/>
  <c r="BN14" i="5"/>
  <c r="BV14" i="5"/>
  <c r="BV15" i="5"/>
  <c r="BJ16" i="5"/>
  <c r="BN16" i="5"/>
  <c r="BJ17" i="5"/>
  <c r="BR17" i="5"/>
  <c r="BV17" i="5"/>
  <c r="BJ18" i="5"/>
  <c r="BN18" i="5"/>
  <c r="BJ19" i="5"/>
  <c r="BR19" i="5"/>
  <c r="BV19" i="5"/>
  <c r="BJ20" i="5"/>
  <c r="BV20" i="5"/>
  <c r="BJ21" i="5"/>
  <c r="BN21" i="5"/>
  <c r="BR21" i="5"/>
  <c r="BV21" i="5"/>
  <c r="BJ22" i="5"/>
  <c r="BN22" i="5"/>
  <c r="BR23" i="5"/>
  <c r="BJ24" i="5"/>
  <c r="BN24" i="5"/>
  <c r="BJ25" i="5"/>
  <c r="BR25" i="5"/>
  <c r="BV25" i="5"/>
  <c r="BJ26" i="5"/>
  <c r="BN26" i="5"/>
  <c r="BR26" i="5"/>
  <c r="BI26" i="5"/>
  <c r="BJ27" i="5"/>
  <c r="BR27" i="5"/>
  <c r="BV27" i="5"/>
  <c r="BJ28" i="5"/>
  <c r="BV28" i="5"/>
  <c r="BJ29" i="5"/>
  <c r="BN29" i="5"/>
  <c r="BV29" i="5"/>
  <c r="BI29" i="5"/>
  <c r="BJ30" i="5"/>
  <c r="BN30" i="5"/>
  <c r="BR30" i="5"/>
  <c r="BV30" i="5"/>
  <c r="BJ32" i="5"/>
  <c r="BJ33" i="5"/>
  <c r="BR33" i="5"/>
  <c r="BJ34" i="5"/>
  <c r="BN34" i="5"/>
  <c r="BR34" i="5"/>
  <c r="BV34" i="5"/>
  <c r="AZ35" i="5"/>
  <c r="BJ35" i="5" s="1"/>
  <c r="BB35" i="5"/>
  <c r="BD35" i="5"/>
  <c r="BR35" i="5" s="1"/>
  <c r="BF35" i="5"/>
  <c r="BV35" i="5" s="1"/>
  <c r="AZ36" i="5"/>
  <c r="BJ36" i="5" s="1"/>
  <c r="BB36" i="5"/>
  <c r="BN36" i="5" s="1"/>
  <c r="BD36" i="5"/>
  <c r="BF36" i="5"/>
  <c r="BV36" i="5" s="1"/>
  <c r="AZ37" i="5"/>
  <c r="BJ37" i="5" s="1"/>
  <c r="BB37" i="5"/>
  <c r="BN37" i="5" s="1"/>
  <c r="BD37" i="5"/>
  <c r="BF37" i="5"/>
  <c r="BV37" i="5" s="1"/>
  <c r="AZ38" i="5"/>
  <c r="BJ38" i="5" s="1"/>
  <c r="BB38" i="5"/>
  <c r="BD38" i="5"/>
  <c r="BF38" i="5"/>
  <c r="BV38" i="5" s="1"/>
  <c r="AZ39" i="5"/>
  <c r="BJ39" i="5" s="1"/>
  <c r="BB39" i="5"/>
  <c r="BN39" i="5" s="1"/>
  <c r="BD39" i="5"/>
  <c r="BR39" i="5" s="1"/>
  <c r="BF39" i="5"/>
  <c r="AZ40" i="5"/>
  <c r="BJ40" i="5" s="1"/>
  <c r="BB40" i="5"/>
  <c r="BN40" i="5" s="1"/>
  <c r="BD40" i="5"/>
  <c r="BR40" i="5" s="1"/>
  <c r="BF40" i="5"/>
  <c r="BI40" i="5"/>
  <c r="AZ41" i="5"/>
  <c r="BJ41" i="5" s="1"/>
  <c r="BB41" i="5"/>
  <c r="BD41" i="5"/>
  <c r="BF41" i="5"/>
  <c r="BV41" i="5" s="1"/>
  <c r="AZ42" i="5"/>
  <c r="BJ42" i="5" s="1"/>
  <c r="BB42" i="5"/>
  <c r="BN42" i="5" s="1"/>
  <c r="BD42" i="5"/>
  <c r="BR42" i="5" s="1"/>
  <c r="BF42" i="5"/>
  <c r="BI42" i="5"/>
  <c r="AZ43" i="5"/>
  <c r="BJ43" i="5" s="1"/>
  <c r="BB43" i="5"/>
  <c r="BN43" i="5" s="1"/>
  <c r="BD43" i="5"/>
  <c r="BR43" i="5" s="1"/>
  <c r="BF43" i="5"/>
  <c r="BV43" i="5" s="1"/>
  <c r="BI43" i="5"/>
  <c r="AZ44" i="5"/>
  <c r="BJ44" i="5" s="1"/>
  <c r="BB44" i="5"/>
  <c r="BD44" i="5"/>
  <c r="BF44" i="5"/>
  <c r="BV44" i="5" s="1"/>
  <c r="AZ45" i="5"/>
  <c r="BJ45" i="5" s="1"/>
  <c r="BB45" i="5"/>
  <c r="BN45" i="5" s="1"/>
  <c r="BD45" i="5"/>
  <c r="BR45" i="5" s="1"/>
  <c r="BF45" i="5"/>
  <c r="BV45" i="5" s="1"/>
  <c r="BI45" i="5"/>
  <c r="AZ46" i="5"/>
  <c r="BJ46" i="5" s="1"/>
  <c r="BB46" i="5"/>
  <c r="BN46" i="5" s="1"/>
  <c r="BD46" i="5"/>
  <c r="BR46" i="5" s="1"/>
  <c r="BF46" i="5"/>
  <c r="BV46" i="5" s="1"/>
  <c r="AZ47" i="5"/>
  <c r="BJ47" i="5" s="1"/>
  <c r="BB47" i="5"/>
  <c r="BN47" i="5" s="1"/>
  <c r="BD47" i="5"/>
  <c r="BF47" i="5"/>
  <c r="AZ48" i="5"/>
  <c r="BJ48" i="5" s="1"/>
  <c r="BB48" i="5"/>
  <c r="BN48" i="5" s="1"/>
  <c r="BD48" i="5"/>
  <c r="BR48" i="5" s="1"/>
  <c r="BF48" i="5"/>
  <c r="BV48" i="5" s="1"/>
  <c r="BI48" i="5"/>
  <c r="AZ49" i="5"/>
  <c r="BJ49" i="5" s="1"/>
  <c r="BB49" i="5"/>
  <c r="BD49" i="5"/>
  <c r="BR49" i="5" s="1"/>
  <c r="BF49" i="5"/>
  <c r="AZ50" i="5"/>
  <c r="BJ50" i="5" s="1"/>
  <c r="BB50" i="5"/>
  <c r="BN50" i="5" s="1"/>
  <c r="BD50" i="5"/>
  <c r="BR50" i="5" s="1"/>
  <c r="BF50" i="5"/>
  <c r="BI50" i="5"/>
  <c r="AZ51" i="5"/>
  <c r="BJ51" i="5" s="1"/>
  <c r="BB51" i="5"/>
  <c r="BD51" i="5"/>
  <c r="BR51" i="5" s="1"/>
  <c r="BF51" i="5"/>
  <c r="BI51" i="5"/>
  <c r="AZ52" i="5"/>
  <c r="BJ52" i="5" s="1"/>
  <c r="BB52" i="5"/>
  <c r="BN52" i="5" s="1"/>
  <c r="BD52" i="5"/>
  <c r="BF52" i="5"/>
  <c r="BV52" i="5" s="1"/>
  <c r="AZ53" i="5"/>
  <c r="BJ53" i="5" s="1"/>
  <c r="BB53" i="5"/>
  <c r="BN53" i="5" s="1"/>
  <c r="BD53" i="5"/>
  <c r="BR53" i="5" s="1"/>
  <c r="BF53" i="5"/>
  <c r="BV53" i="5" s="1"/>
  <c r="BI53" i="5"/>
  <c r="AZ54" i="5"/>
  <c r="BJ54" i="5" s="1"/>
  <c r="BB54" i="5"/>
  <c r="BN54" i="5" s="1"/>
  <c r="BD54" i="5"/>
  <c r="BF54" i="5"/>
  <c r="AZ55" i="5"/>
  <c r="BJ55" i="5" s="1"/>
  <c r="BB55" i="5"/>
  <c r="BN55" i="5" s="1"/>
  <c r="BD55" i="5"/>
  <c r="BR55" i="5" s="1"/>
  <c r="BF55" i="5"/>
  <c r="BV55" i="5" s="1"/>
  <c r="AZ56" i="5"/>
  <c r="BJ56" i="5" s="1"/>
  <c r="BB56" i="5"/>
  <c r="BN56" i="5" s="1"/>
  <c r="BD56" i="5"/>
  <c r="BR56" i="5" s="1"/>
  <c r="BF56" i="5"/>
  <c r="BV56" i="5" s="1"/>
  <c r="BI56" i="5"/>
  <c r="AZ57" i="5"/>
  <c r="BJ57" i="5" s="1"/>
  <c r="BB57" i="5"/>
  <c r="BN57" i="5" s="1"/>
  <c r="BD57" i="5"/>
  <c r="BF57" i="5"/>
  <c r="BV57" i="5" s="1"/>
  <c r="AZ58" i="5"/>
  <c r="BJ58" i="5" s="1"/>
  <c r="BB58" i="5"/>
  <c r="BN58" i="5" s="1"/>
  <c r="BD58" i="5"/>
  <c r="BR58" i="5" s="1"/>
  <c r="BF58" i="5"/>
  <c r="BI58" i="5"/>
  <c r="AZ59" i="5"/>
  <c r="BJ59" i="5" s="1"/>
  <c r="BB59" i="5"/>
  <c r="BD59" i="5"/>
  <c r="BR59" i="5" s="1"/>
  <c r="BF59" i="5"/>
  <c r="BV59" i="5" s="1"/>
  <c r="BI59" i="5"/>
  <c r="AZ60" i="5"/>
  <c r="BJ60" i="5" s="1"/>
  <c r="BB60" i="5"/>
  <c r="BD60" i="5"/>
  <c r="BF60" i="5"/>
  <c r="BV60" i="5" s="1"/>
  <c r="AZ61" i="5"/>
  <c r="BJ61" i="5" s="1"/>
  <c r="BB61" i="5"/>
  <c r="BN61" i="5" s="1"/>
  <c r="BD61" i="5"/>
  <c r="BR61" i="5" s="1"/>
  <c r="BF61" i="5"/>
  <c r="BV61" i="5" s="1"/>
  <c r="BI61" i="5"/>
  <c r="AZ62" i="5"/>
  <c r="BJ62" i="5" s="1"/>
  <c r="BB62" i="5"/>
  <c r="BN62" i="5" s="1"/>
  <c r="BD62" i="5"/>
  <c r="BR62" i="5" s="1"/>
  <c r="BF62" i="5"/>
  <c r="BV62" i="5" s="1"/>
  <c r="AZ63" i="5"/>
  <c r="BJ63" i="5" s="1"/>
  <c r="BB63" i="5"/>
  <c r="BN63" i="5" s="1"/>
  <c r="BD63" i="5"/>
  <c r="BF63" i="5"/>
  <c r="AZ64" i="5"/>
  <c r="BJ64" i="5" s="1"/>
  <c r="BB64" i="5"/>
  <c r="BD64" i="5"/>
  <c r="BR64" i="5" s="1"/>
  <c r="BF64" i="5"/>
  <c r="BV64" i="5" s="1"/>
  <c r="BI64" i="5"/>
  <c r="AZ65" i="5"/>
  <c r="BJ65" i="5" s="1"/>
  <c r="BB65" i="5"/>
  <c r="BD65" i="5"/>
  <c r="BR65" i="5" s="1"/>
  <c r="BF65" i="5"/>
  <c r="AZ66" i="5"/>
  <c r="BJ66" i="5" s="1"/>
  <c r="BB66" i="5"/>
  <c r="BN66" i="5" s="1"/>
  <c r="BD66" i="5"/>
  <c r="BR66" i="5" s="1"/>
  <c r="BF66" i="5"/>
  <c r="BI66" i="5"/>
  <c r="AZ67" i="5"/>
  <c r="BJ67" i="5" s="1"/>
  <c r="BB67" i="5"/>
  <c r="BD67" i="5"/>
  <c r="BR67" i="5" s="1"/>
  <c r="BF67" i="5"/>
  <c r="BV67" i="5" s="1"/>
  <c r="BI67" i="5"/>
  <c r="AZ68" i="5"/>
  <c r="BJ68" i="5" s="1"/>
  <c r="BB68" i="5"/>
  <c r="BD68" i="5"/>
  <c r="BF68" i="5"/>
  <c r="BV68" i="5" s="1"/>
  <c r="AZ69" i="5"/>
  <c r="BJ69" i="5" s="1"/>
  <c r="BB69" i="5"/>
  <c r="BN69" i="5" s="1"/>
  <c r="BD69" i="5"/>
  <c r="BR69" i="5" s="1"/>
  <c r="BF69" i="5"/>
  <c r="BV69" i="5" s="1"/>
  <c r="BI69" i="5"/>
  <c r="AZ70" i="5"/>
  <c r="BJ70" i="5" s="1"/>
  <c r="BB70" i="5"/>
  <c r="BN70" i="5" s="1"/>
  <c r="BD70" i="5"/>
  <c r="BF70" i="5"/>
  <c r="BV70" i="5" s="1"/>
  <c r="AZ71" i="5"/>
  <c r="BJ71" i="5" s="1"/>
  <c r="BB71" i="5"/>
  <c r="BN71" i="5" s="1"/>
  <c r="BD71" i="5"/>
  <c r="BR71" i="5" s="1"/>
  <c r="BF71" i="5"/>
  <c r="BV71" i="5" s="1"/>
  <c r="AZ72" i="5"/>
  <c r="BJ72" i="5" s="1"/>
  <c r="BB72" i="5"/>
  <c r="BN72" i="5" s="1"/>
  <c r="BD72" i="5"/>
  <c r="BR72" i="5" s="1"/>
  <c r="BF72" i="5"/>
  <c r="BV72" i="5" s="1"/>
  <c r="BI72" i="5"/>
  <c r="AZ73" i="5"/>
  <c r="BJ73" i="5" s="1"/>
  <c r="BB73" i="5"/>
  <c r="BN73" i="5" s="1"/>
  <c r="BD73" i="5"/>
  <c r="BR73" i="5" s="1"/>
  <c r="BF73" i="5"/>
  <c r="BV73" i="5" s="1"/>
  <c r="BI73" i="5"/>
  <c r="AZ74" i="5"/>
  <c r="BJ74" i="5" s="1"/>
  <c r="BB74" i="5"/>
  <c r="BN74" i="5" s="1"/>
  <c r="BD74" i="5"/>
  <c r="BR74" i="5" s="1"/>
  <c r="BF74" i="5"/>
  <c r="BI74" i="5"/>
  <c r="AZ75" i="5"/>
  <c r="BJ75" i="5" s="1"/>
  <c r="BB75" i="5"/>
  <c r="BN75" i="5" s="1"/>
  <c r="BD75" i="5"/>
  <c r="BF75" i="5"/>
  <c r="BV75" i="5" s="1"/>
  <c r="BI75" i="5"/>
  <c r="AZ76" i="5"/>
  <c r="BJ76" i="5" s="1"/>
  <c r="BB76" i="5"/>
  <c r="BD76" i="5"/>
  <c r="BR76" i="5" s="1"/>
  <c r="BF76" i="5"/>
  <c r="BV76" i="5" s="1"/>
  <c r="AZ77" i="5"/>
  <c r="BJ77" i="5" s="1"/>
  <c r="BB77" i="5"/>
  <c r="BN77" i="5" s="1"/>
  <c r="BD77" i="5"/>
  <c r="BR77" i="5" s="1"/>
  <c r="BF77" i="5"/>
  <c r="BV77" i="5" s="1"/>
  <c r="BI77" i="5"/>
  <c r="AZ78" i="5"/>
  <c r="BJ78" i="5" s="1"/>
  <c r="BB78" i="5"/>
  <c r="BN78" i="5" s="1"/>
  <c r="BD78" i="5"/>
  <c r="BR78" i="5" s="1"/>
  <c r="BF78" i="5"/>
  <c r="BV78" i="5" s="1"/>
  <c r="AZ79" i="5"/>
  <c r="BJ79" i="5" s="1"/>
  <c r="BB79" i="5"/>
  <c r="BN79" i="5" s="1"/>
  <c r="BD79" i="5"/>
  <c r="BF79" i="5"/>
  <c r="AZ80" i="5"/>
  <c r="BJ80" i="5" s="1"/>
  <c r="BB80" i="5"/>
  <c r="BN80" i="5" s="1"/>
  <c r="BD80" i="5"/>
  <c r="BR80" i="5" s="1"/>
  <c r="BF80" i="5"/>
  <c r="BV80" i="5" s="1"/>
  <c r="BI80" i="5"/>
  <c r="AZ81" i="5"/>
  <c r="BJ81" i="5" s="1"/>
  <c r="BB81" i="5"/>
  <c r="BD81" i="5"/>
  <c r="BR81" i="5" s="1"/>
  <c r="BF81" i="5"/>
  <c r="BI81" i="5"/>
  <c r="AZ82" i="5"/>
  <c r="BJ82" i="5" s="1"/>
  <c r="BB82" i="5"/>
  <c r="BN82" i="5" s="1"/>
  <c r="BD82" i="5"/>
  <c r="BR82" i="5" s="1"/>
  <c r="BF82" i="5"/>
  <c r="BI82" i="5"/>
  <c r="AZ83" i="5"/>
  <c r="BJ83" i="5" s="1"/>
  <c r="BB83" i="5"/>
  <c r="BD83" i="5"/>
  <c r="BR83" i="5" s="1"/>
  <c r="BF83" i="5"/>
  <c r="BI83" i="5"/>
  <c r="AZ84" i="5"/>
  <c r="BJ84" i="5" s="1"/>
  <c r="BB84" i="5"/>
  <c r="BD84" i="5"/>
  <c r="BF84" i="5"/>
  <c r="BV84" i="5" s="1"/>
  <c r="BI84" i="5"/>
  <c r="AZ85" i="5"/>
  <c r="BJ85" i="5" s="1"/>
  <c r="BB85" i="5"/>
  <c r="BN85" i="5" s="1"/>
  <c r="BD85" i="5"/>
  <c r="BR85" i="5" s="1"/>
  <c r="BF85" i="5"/>
  <c r="BV85" i="5" s="1"/>
  <c r="BI85" i="5"/>
  <c r="AZ86" i="5"/>
  <c r="BJ86" i="5" s="1"/>
  <c r="BB86" i="5"/>
  <c r="BN86" i="5" s="1"/>
  <c r="BD86" i="5"/>
  <c r="BF86" i="5"/>
  <c r="BV86" i="5" s="1"/>
  <c r="AZ87" i="5"/>
  <c r="BJ87" i="5" s="1"/>
  <c r="BB87" i="5"/>
  <c r="BN87" i="5" s="1"/>
  <c r="BD87" i="5"/>
  <c r="BF87" i="5"/>
  <c r="AZ88" i="5"/>
  <c r="BJ88" i="5" s="1"/>
  <c r="BB88" i="5"/>
  <c r="BN88" i="5" s="1"/>
  <c r="BD88" i="5"/>
  <c r="BR88" i="5" s="1"/>
  <c r="BF88" i="5"/>
  <c r="BV88" i="5" s="1"/>
  <c r="BI88" i="5"/>
  <c r="AZ89" i="5"/>
  <c r="BJ89" i="5" s="1"/>
  <c r="BB89" i="5"/>
  <c r="BD89" i="5"/>
  <c r="BR89" i="5" s="1"/>
  <c r="BF89" i="5"/>
  <c r="BI89" i="5"/>
  <c r="AZ90" i="5"/>
  <c r="BJ90" i="5" s="1"/>
  <c r="BB90" i="5"/>
  <c r="BN90" i="5" s="1"/>
  <c r="BD90" i="5"/>
  <c r="BR90" i="5" s="1"/>
  <c r="BF90" i="5"/>
  <c r="BV90" i="5" s="1"/>
  <c r="BI90" i="5"/>
  <c r="AZ91" i="5"/>
  <c r="BJ91" i="5" s="1"/>
  <c r="BB91" i="5"/>
  <c r="BD91" i="5"/>
  <c r="BR91" i="5" s="1"/>
  <c r="BF91" i="5"/>
  <c r="BV91" i="5" s="1"/>
  <c r="BI91" i="5"/>
  <c r="AZ92" i="5"/>
  <c r="BJ92" i="5" s="1"/>
  <c r="BB92" i="5"/>
  <c r="BN92" i="5" s="1"/>
  <c r="BD92" i="5"/>
  <c r="BF92" i="5"/>
  <c r="BV92" i="5" s="1"/>
  <c r="BI92" i="5"/>
  <c r="AZ93" i="5"/>
  <c r="BJ93" i="5" s="1"/>
  <c r="BB93" i="5"/>
  <c r="BD93" i="5"/>
  <c r="BR93" i="5" s="1"/>
  <c r="BF93" i="5"/>
  <c r="BV93" i="5" s="1"/>
  <c r="BI93" i="5"/>
  <c r="AZ94" i="5"/>
  <c r="BJ94" i="5" s="1"/>
  <c r="BB94" i="5"/>
  <c r="BN94" i="5" s="1"/>
  <c r="BD94" i="5"/>
  <c r="BR94" i="5" s="1"/>
  <c r="BF94" i="5"/>
  <c r="AZ95" i="5"/>
  <c r="BJ95" i="5" s="1"/>
  <c r="BB95" i="5"/>
  <c r="BN95" i="5" s="1"/>
  <c r="BD95" i="5"/>
  <c r="BR95" i="5" s="1"/>
  <c r="BF95" i="5"/>
  <c r="BV95" i="5" s="1"/>
  <c r="AZ96" i="5"/>
  <c r="BJ96" i="5" s="1"/>
  <c r="BB96" i="5"/>
  <c r="BN96" i="5" s="1"/>
  <c r="BD96" i="5"/>
  <c r="BF96" i="5"/>
  <c r="BI96" i="5"/>
  <c r="AZ97" i="5"/>
  <c r="BJ97" i="5" s="1"/>
  <c r="BB97" i="5"/>
  <c r="BN97" i="5" s="1"/>
  <c r="BD97" i="5"/>
  <c r="BR97" i="5" s="1"/>
  <c r="BF97" i="5"/>
  <c r="BV97" i="5" s="1"/>
  <c r="BI97" i="5"/>
  <c r="AZ98" i="5"/>
  <c r="BJ98" i="5" s="1"/>
  <c r="BB98" i="5"/>
  <c r="BD98" i="5"/>
  <c r="BR98" i="5" s="1"/>
  <c r="BF98" i="5"/>
  <c r="BV98" i="5" s="1"/>
  <c r="BI98" i="5"/>
  <c r="AZ99" i="5"/>
  <c r="BJ99" i="5" s="1"/>
  <c r="BB99" i="5"/>
  <c r="BN99" i="5" s="1"/>
  <c r="BD99" i="5"/>
  <c r="BR99" i="5" s="1"/>
  <c r="BF99" i="5"/>
  <c r="BI99" i="5"/>
  <c r="AZ100" i="5"/>
  <c r="BJ100" i="5" s="1"/>
  <c r="BB100" i="5"/>
  <c r="BN100" i="5" s="1"/>
  <c r="BD100" i="5"/>
  <c r="BR100" i="5" s="1"/>
  <c r="BF100" i="5"/>
  <c r="BV100" i="5" s="1"/>
  <c r="BI100" i="5"/>
  <c r="AZ101" i="5"/>
  <c r="BJ101" i="5" s="1"/>
  <c r="BB101" i="5"/>
  <c r="BD101" i="5"/>
  <c r="BF101" i="5"/>
  <c r="BV101" i="5" s="1"/>
  <c r="BI101" i="5"/>
  <c r="AZ102" i="5"/>
  <c r="BJ102" i="5" s="1"/>
  <c r="BB102" i="5"/>
  <c r="BN102" i="5" s="1"/>
  <c r="BD102" i="5"/>
  <c r="BR102" i="5" s="1"/>
  <c r="BF102" i="5"/>
  <c r="AZ103" i="5"/>
  <c r="BJ103" i="5" s="1"/>
  <c r="BB103" i="5"/>
  <c r="BN103" i="5" s="1"/>
  <c r="BD103" i="5"/>
  <c r="BF103" i="5"/>
  <c r="BV103" i="5" s="1"/>
  <c r="AZ104" i="5"/>
  <c r="BJ104" i="5" s="1"/>
  <c r="BB104" i="5"/>
  <c r="BN104" i="5" s="1"/>
  <c r="BD104" i="5"/>
  <c r="BF104" i="5"/>
  <c r="BI104" i="5"/>
  <c r="AZ105" i="5"/>
  <c r="BJ105" i="5" s="1"/>
  <c r="BB105" i="5"/>
  <c r="BD105" i="5"/>
  <c r="BR105" i="5" s="1"/>
  <c r="BF105" i="5"/>
  <c r="BV105" i="5" s="1"/>
  <c r="BI105" i="5"/>
  <c r="AZ106" i="5"/>
  <c r="BJ106" i="5" s="1"/>
  <c r="BB106" i="5"/>
  <c r="BD106" i="5"/>
  <c r="BR106" i="5" s="1"/>
  <c r="BF106" i="5"/>
  <c r="BI106" i="5"/>
  <c r="AZ107" i="5"/>
  <c r="BJ107" i="5" s="1"/>
  <c r="BB107" i="5"/>
  <c r="BN107" i="5" s="1"/>
  <c r="BD107" i="5"/>
  <c r="BR107" i="5" s="1"/>
  <c r="BF107" i="5"/>
  <c r="BI107" i="5"/>
  <c r="AZ108" i="5"/>
  <c r="BJ108" i="5" s="1"/>
  <c r="BB108" i="5"/>
  <c r="BD108" i="5"/>
  <c r="BF108" i="5"/>
  <c r="BV108" i="5" s="1"/>
  <c r="BI108" i="5"/>
  <c r="AZ109" i="5"/>
  <c r="BJ109" i="5" s="1"/>
  <c r="BB109" i="5"/>
  <c r="BD109" i="5"/>
  <c r="BF109" i="5"/>
  <c r="BV109" i="5" s="1"/>
  <c r="BI109" i="5"/>
  <c r="AZ110" i="5"/>
  <c r="BJ110" i="5" s="1"/>
  <c r="BB110" i="5"/>
  <c r="BN110" i="5" s="1"/>
  <c r="BD110" i="5"/>
  <c r="BR110" i="5" s="1"/>
  <c r="BF110" i="5"/>
  <c r="BV110" i="5" s="1"/>
  <c r="AZ111" i="5"/>
  <c r="BJ111" i="5" s="1"/>
  <c r="BB111" i="5"/>
  <c r="BN111" i="5" s="1"/>
  <c r="BD111" i="5"/>
  <c r="BF111" i="5"/>
  <c r="AZ112" i="5"/>
  <c r="BJ112" i="5" s="1"/>
  <c r="BB112" i="5"/>
  <c r="BN112" i="5" s="1"/>
  <c r="BD112" i="5"/>
  <c r="BR112" i="5" s="1"/>
  <c r="BF112" i="5"/>
  <c r="BV112" i="5" s="1"/>
  <c r="BI112" i="5"/>
  <c r="AZ113" i="5"/>
  <c r="BJ113" i="5" s="1"/>
  <c r="BB113" i="5"/>
  <c r="BD113" i="5"/>
  <c r="BR113" i="5" s="1"/>
  <c r="BF113" i="5"/>
  <c r="BV113" i="5" s="1"/>
  <c r="BI113" i="5"/>
  <c r="AZ114" i="5"/>
  <c r="BJ114" i="5" s="1"/>
  <c r="BB114" i="5"/>
  <c r="BN114" i="5" s="1"/>
  <c r="BD114" i="5"/>
  <c r="BF114" i="5"/>
  <c r="BI114" i="5"/>
  <c r="AZ115" i="5"/>
  <c r="BJ115" i="5" s="1"/>
  <c r="BB115" i="5"/>
  <c r="BN115" i="5" s="1"/>
  <c r="BD115" i="5"/>
  <c r="BR115" i="5" s="1"/>
  <c r="BF115" i="5"/>
  <c r="BV115" i="5" s="1"/>
  <c r="BI115" i="5"/>
  <c r="AZ116" i="5"/>
  <c r="BJ116" i="5" s="1"/>
  <c r="BB116" i="5"/>
  <c r="BD116" i="5"/>
  <c r="BF116" i="5"/>
  <c r="BV116" i="5" s="1"/>
  <c r="BI116" i="5"/>
  <c r="AZ117" i="5"/>
  <c r="BJ117" i="5" s="1"/>
  <c r="BB117" i="5"/>
  <c r="BN117" i="5" s="1"/>
  <c r="BD117" i="5"/>
  <c r="BR117" i="5" s="1"/>
  <c r="BF117" i="5"/>
  <c r="BV117" i="5" s="1"/>
  <c r="BI117" i="5"/>
  <c r="AZ118" i="5"/>
  <c r="BJ118" i="5" s="1"/>
  <c r="BB118" i="5"/>
  <c r="BN118" i="5" s="1"/>
  <c r="BD118" i="5"/>
  <c r="BF118" i="5"/>
  <c r="BV118" i="5" s="1"/>
  <c r="BI118" i="5"/>
  <c r="AZ119" i="5"/>
  <c r="BJ119" i="5" s="1"/>
  <c r="BB119" i="5"/>
  <c r="BN119" i="5" s="1"/>
  <c r="BD119" i="5"/>
  <c r="BF119" i="5"/>
  <c r="BI119" i="5"/>
  <c r="AZ120" i="5"/>
  <c r="BJ120" i="5" s="1"/>
  <c r="BB120" i="5"/>
  <c r="BN120" i="5" s="1"/>
  <c r="BD120" i="5"/>
  <c r="BF120" i="5"/>
  <c r="BV120" i="5" s="1"/>
  <c r="BI120" i="5"/>
  <c r="AZ121" i="5"/>
  <c r="BJ121" i="5" s="1"/>
  <c r="BB121" i="5"/>
  <c r="BD121" i="5"/>
  <c r="BF121" i="5"/>
  <c r="BV121" i="5" s="1"/>
  <c r="BI121" i="5"/>
  <c r="AZ122" i="5"/>
  <c r="BJ122" i="5" s="1"/>
  <c r="BB122" i="5"/>
  <c r="BN122" i="5" s="1"/>
  <c r="BD122" i="5"/>
  <c r="BF122" i="5"/>
  <c r="BI122" i="5"/>
  <c r="AZ123" i="5"/>
  <c r="BJ123" i="5" s="1"/>
  <c r="BB123" i="5"/>
  <c r="BN123" i="5" s="1"/>
  <c r="BD123" i="5"/>
  <c r="BR123" i="5" s="1"/>
  <c r="BF123" i="5"/>
  <c r="BI123" i="5"/>
  <c r="AZ124" i="5"/>
  <c r="BJ124" i="5" s="1"/>
  <c r="BB124" i="5"/>
  <c r="BD124" i="5"/>
  <c r="BF124" i="5"/>
  <c r="BI124" i="5"/>
  <c r="AZ125" i="5"/>
  <c r="BJ125" i="5" s="1"/>
  <c r="BB125" i="5"/>
  <c r="BN125" i="5" s="1"/>
  <c r="BD125" i="5"/>
  <c r="BR125" i="5" s="1"/>
  <c r="BF125" i="5"/>
  <c r="BV125" i="5" s="1"/>
  <c r="BI125" i="5"/>
  <c r="AZ126" i="5"/>
  <c r="BJ126" i="5" s="1"/>
  <c r="BB126" i="5"/>
  <c r="BN126" i="5" s="1"/>
  <c r="BD126" i="5"/>
  <c r="BF126" i="5"/>
  <c r="BV126" i="5" s="1"/>
  <c r="BI126" i="5"/>
  <c r="AZ127" i="5"/>
  <c r="BJ127" i="5" s="1"/>
  <c r="BB127" i="5"/>
  <c r="BN127" i="5" s="1"/>
  <c r="BD127" i="5"/>
  <c r="BF127" i="5"/>
  <c r="BI127" i="5"/>
  <c r="AZ128" i="5"/>
  <c r="BJ128" i="5" s="1"/>
  <c r="BB128" i="5"/>
  <c r="BN128" i="5" s="1"/>
  <c r="BD128" i="5"/>
  <c r="BF128" i="5"/>
  <c r="BV128" i="5" s="1"/>
  <c r="BI128" i="5"/>
  <c r="AZ129" i="5"/>
  <c r="BJ129" i="5" s="1"/>
  <c r="BB129" i="5"/>
  <c r="BD129" i="5"/>
  <c r="BR129" i="5" s="1"/>
  <c r="BF129" i="5"/>
  <c r="BV129" i="5" s="1"/>
  <c r="BI129" i="5"/>
  <c r="AZ130" i="5"/>
  <c r="BJ130" i="5" s="1"/>
  <c r="BB130" i="5"/>
  <c r="BN130" i="5" s="1"/>
  <c r="BD130" i="5"/>
  <c r="BR130" i="5" s="1"/>
  <c r="BF130" i="5"/>
  <c r="BI130" i="5"/>
  <c r="AZ131" i="5"/>
  <c r="BJ131" i="5" s="1"/>
  <c r="BB131" i="5"/>
  <c r="BN131" i="5" s="1"/>
  <c r="BD131" i="5"/>
  <c r="BR131" i="5" s="1"/>
  <c r="BF131" i="5"/>
  <c r="BV131" i="5" s="1"/>
  <c r="BI131" i="5"/>
  <c r="AZ132" i="5"/>
  <c r="BJ132" i="5" s="1"/>
  <c r="BB132" i="5"/>
  <c r="BD132" i="5"/>
  <c r="BF132" i="5"/>
  <c r="BV132" i="5" s="1"/>
  <c r="BI132" i="5"/>
  <c r="AZ133" i="5"/>
  <c r="BJ133" i="5" s="1"/>
  <c r="BB133" i="5"/>
  <c r="BN133" i="5" s="1"/>
  <c r="BD133" i="5"/>
  <c r="BF133" i="5"/>
  <c r="BV133" i="5" s="1"/>
  <c r="BI133" i="5"/>
  <c r="AZ134" i="5"/>
  <c r="BJ134" i="5" s="1"/>
  <c r="BB134" i="5"/>
  <c r="BN134" i="5" s="1"/>
  <c r="BD134" i="5"/>
  <c r="BF134" i="5"/>
  <c r="BV134" i="5" s="1"/>
  <c r="BI134" i="5"/>
  <c r="AZ135" i="5"/>
  <c r="BJ135" i="5" s="1"/>
  <c r="BB135" i="5"/>
  <c r="BN135" i="5" s="1"/>
  <c r="BD135" i="5"/>
  <c r="BF135" i="5"/>
  <c r="BI135" i="5"/>
  <c r="AZ136" i="5"/>
  <c r="BJ136" i="5" s="1"/>
  <c r="BB136" i="5"/>
  <c r="BN136" i="5" s="1"/>
  <c r="BD136" i="5"/>
  <c r="BR136" i="5" s="1"/>
  <c r="BF136" i="5"/>
  <c r="BV136" i="5" s="1"/>
  <c r="BI136" i="5"/>
  <c r="AZ137" i="5"/>
  <c r="BJ137" i="5" s="1"/>
  <c r="BB137" i="5"/>
  <c r="BD137" i="5"/>
  <c r="BR137" i="5" s="1"/>
  <c r="BF137" i="5"/>
  <c r="BV137" i="5" s="1"/>
  <c r="BI137" i="5"/>
  <c r="AZ138" i="5"/>
  <c r="BJ138" i="5" s="1"/>
  <c r="BB138" i="5"/>
  <c r="BN138" i="5" s="1"/>
  <c r="BD138" i="5"/>
  <c r="BR138" i="5" s="1"/>
  <c r="BF138" i="5"/>
  <c r="BI138" i="5"/>
  <c r="AZ139" i="5"/>
  <c r="BJ139" i="5" s="1"/>
  <c r="BB139" i="5"/>
  <c r="BN139" i="5" s="1"/>
  <c r="BD139" i="5"/>
  <c r="BR139" i="5" s="1"/>
  <c r="BF139" i="5"/>
  <c r="BV139" i="5" s="1"/>
  <c r="BI139" i="5"/>
  <c r="AZ140" i="5"/>
  <c r="BJ140" i="5" s="1"/>
  <c r="BB140" i="5"/>
  <c r="BD140" i="5"/>
  <c r="BF140" i="5"/>
  <c r="BV140" i="5" s="1"/>
  <c r="BI140" i="5"/>
  <c r="AZ141" i="5"/>
  <c r="BJ141" i="5" s="1"/>
  <c r="BB141" i="5"/>
  <c r="BN141" i="5" s="1"/>
  <c r="BD141" i="5"/>
  <c r="BR141" i="5" s="1"/>
  <c r="BF141" i="5"/>
  <c r="BV141" i="5" s="1"/>
  <c r="BI141" i="5"/>
  <c r="AZ142" i="5"/>
  <c r="BJ142" i="5" s="1"/>
  <c r="BB142" i="5"/>
  <c r="BD142" i="5"/>
  <c r="BF142" i="5"/>
  <c r="BV142" i="5" s="1"/>
  <c r="BI142" i="5"/>
  <c r="AZ143" i="5"/>
  <c r="BJ143" i="5" s="1"/>
  <c r="BB143" i="5"/>
  <c r="BN143" i="5" s="1"/>
  <c r="BD143" i="5"/>
  <c r="BF143" i="5"/>
  <c r="BI143" i="5"/>
  <c r="AZ144" i="5"/>
  <c r="BJ144" i="5" s="1"/>
  <c r="BB144" i="5"/>
  <c r="BN144" i="5" s="1"/>
  <c r="BD144" i="5"/>
  <c r="BR144" i="5" s="1"/>
  <c r="BF144" i="5"/>
  <c r="BV144" i="5" s="1"/>
  <c r="BI144" i="5"/>
  <c r="AZ145" i="5"/>
  <c r="BJ145" i="5" s="1"/>
  <c r="BB145" i="5"/>
  <c r="BD145" i="5"/>
  <c r="BR145" i="5" s="1"/>
  <c r="BF145" i="5"/>
  <c r="BV145" i="5" s="1"/>
  <c r="BI145" i="5"/>
  <c r="AZ146" i="5"/>
  <c r="BJ146" i="5" s="1"/>
  <c r="BB146" i="5"/>
  <c r="BN146" i="5" s="1"/>
  <c r="BD146" i="5"/>
  <c r="BR146" i="5" s="1"/>
  <c r="BF146" i="5"/>
  <c r="BI146" i="5"/>
  <c r="AZ147" i="5"/>
  <c r="BJ147" i="5" s="1"/>
  <c r="BB147" i="5"/>
  <c r="BN147" i="5" s="1"/>
  <c r="BD147" i="5"/>
  <c r="BR147" i="5" s="1"/>
  <c r="BF147" i="5"/>
  <c r="BI147" i="5"/>
  <c r="AZ148" i="5"/>
  <c r="BJ148" i="5" s="1"/>
  <c r="BB148" i="5"/>
  <c r="BD148" i="5"/>
  <c r="BF148" i="5"/>
  <c r="BV148" i="5" s="1"/>
  <c r="BI148" i="5"/>
  <c r="AZ149" i="5"/>
  <c r="BJ149" i="5" s="1"/>
  <c r="BB149" i="5"/>
  <c r="BN149" i="5" s="1"/>
  <c r="BD149" i="5"/>
  <c r="BR149" i="5" s="1"/>
  <c r="BF149" i="5"/>
  <c r="BV149" i="5" s="1"/>
  <c r="BI149" i="5"/>
  <c r="AZ150" i="5"/>
  <c r="BJ150" i="5" s="1"/>
  <c r="BB150" i="5"/>
  <c r="BN150" i="5" s="1"/>
  <c r="BD150" i="5"/>
  <c r="BF150" i="5"/>
  <c r="BV150" i="5" s="1"/>
  <c r="BI150" i="5"/>
  <c r="AZ151" i="5"/>
  <c r="BJ151" i="5" s="1"/>
  <c r="BB151" i="5"/>
  <c r="BN151" i="5" s="1"/>
  <c r="BD151" i="5"/>
  <c r="BF151" i="5"/>
  <c r="BI151" i="5"/>
  <c r="AZ152" i="5"/>
  <c r="BJ152" i="5" s="1"/>
  <c r="BB152" i="5"/>
  <c r="BN152" i="5" s="1"/>
  <c r="BD152" i="5"/>
  <c r="BF152" i="5"/>
  <c r="BV152" i="5" s="1"/>
  <c r="BI152" i="5"/>
  <c r="AZ153" i="5"/>
  <c r="BJ153" i="5" s="1"/>
  <c r="BB153" i="5"/>
  <c r="BD153" i="5"/>
  <c r="BR153" i="5" s="1"/>
  <c r="BF153" i="5"/>
  <c r="BV153" i="5" s="1"/>
  <c r="BI153" i="5"/>
  <c r="AZ154" i="5"/>
  <c r="BJ154" i="5" s="1"/>
  <c r="BB154" i="5"/>
  <c r="BN154" i="5" s="1"/>
  <c r="BD154" i="5"/>
  <c r="BR154" i="5" s="1"/>
  <c r="BF154" i="5"/>
  <c r="BI154" i="5"/>
  <c r="AZ155" i="5"/>
  <c r="BJ155" i="5" s="1"/>
  <c r="BB155" i="5"/>
  <c r="BN155" i="5" s="1"/>
  <c r="BD155" i="5"/>
  <c r="BR155" i="5" s="1"/>
  <c r="BF155" i="5"/>
  <c r="BV155" i="5" s="1"/>
  <c r="BI155" i="5"/>
  <c r="AZ156" i="5"/>
  <c r="BJ156" i="5" s="1"/>
  <c r="BB156" i="5"/>
  <c r="BD156" i="5"/>
  <c r="BF156" i="5"/>
  <c r="BV156" i="5" s="1"/>
  <c r="BI156" i="5"/>
  <c r="AZ157" i="5"/>
  <c r="BJ157" i="5" s="1"/>
  <c r="BB157" i="5"/>
  <c r="BN157" i="5" s="1"/>
  <c r="BD157" i="5"/>
  <c r="BF157" i="5"/>
  <c r="BV157" i="5" s="1"/>
  <c r="BI157" i="5"/>
  <c r="AZ158" i="5"/>
  <c r="BJ158" i="5" s="1"/>
  <c r="BB158" i="5"/>
  <c r="BN158" i="5" s="1"/>
  <c r="BD158" i="5"/>
  <c r="BF158" i="5"/>
  <c r="BV158" i="5" s="1"/>
  <c r="BI158" i="5"/>
  <c r="AZ159" i="5"/>
  <c r="BJ159" i="5" s="1"/>
  <c r="BB159" i="5"/>
  <c r="BN159" i="5" s="1"/>
  <c r="BD159" i="5"/>
  <c r="BF159" i="5"/>
  <c r="BI159" i="5"/>
  <c r="AZ160" i="5"/>
  <c r="BJ160" i="5" s="1"/>
  <c r="BB160" i="5"/>
  <c r="BN160" i="5" s="1"/>
  <c r="BD160" i="5"/>
  <c r="BR160" i="5" s="1"/>
  <c r="BF160" i="5"/>
  <c r="BV160" i="5" s="1"/>
  <c r="BI160" i="5"/>
  <c r="AZ161" i="5"/>
  <c r="BJ161" i="5" s="1"/>
  <c r="BB161" i="5"/>
  <c r="BD161" i="5"/>
  <c r="BR161" i="5" s="1"/>
  <c r="BF161" i="5"/>
  <c r="BV161" i="5" s="1"/>
  <c r="BI161" i="5"/>
  <c r="AZ162" i="5"/>
  <c r="BJ162" i="5" s="1"/>
  <c r="BB162" i="5"/>
  <c r="BN162" i="5" s="1"/>
  <c r="BD162" i="5"/>
  <c r="BR162" i="5" s="1"/>
  <c r="BF162" i="5"/>
  <c r="BI162" i="5"/>
  <c r="AZ163" i="5"/>
  <c r="BJ163" i="5" s="1"/>
  <c r="BB163" i="5"/>
  <c r="BN163" i="5" s="1"/>
  <c r="BD163" i="5"/>
  <c r="BR163" i="5" s="1"/>
  <c r="BF163" i="5"/>
  <c r="BV163" i="5" s="1"/>
  <c r="BI163" i="5"/>
  <c r="AZ164" i="5"/>
  <c r="BJ164" i="5" s="1"/>
  <c r="BB164" i="5"/>
  <c r="BD164" i="5"/>
  <c r="BF164" i="5"/>
  <c r="BV164" i="5" s="1"/>
  <c r="BI164" i="5"/>
  <c r="AZ165" i="5"/>
  <c r="BJ165" i="5" s="1"/>
  <c r="BB165" i="5"/>
  <c r="BN165" i="5" s="1"/>
  <c r="BD165" i="5"/>
  <c r="BR165" i="5" s="1"/>
  <c r="BF165" i="5"/>
  <c r="BV165" i="5" s="1"/>
  <c r="BI165" i="5"/>
  <c r="AZ166" i="5"/>
  <c r="BJ166" i="5" s="1"/>
  <c r="BB166" i="5"/>
  <c r="BN166" i="5" s="1"/>
  <c r="BD166" i="5"/>
  <c r="BF166" i="5"/>
  <c r="BV166" i="5" s="1"/>
  <c r="BI166" i="5"/>
  <c r="AZ167" i="5"/>
  <c r="BJ167" i="5" s="1"/>
  <c r="BB167" i="5"/>
  <c r="BN167" i="5" s="1"/>
  <c r="BD167" i="5"/>
  <c r="BF167" i="5"/>
  <c r="BI167" i="5"/>
  <c r="AZ168" i="5"/>
  <c r="BJ168" i="5" s="1"/>
  <c r="BB168" i="5"/>
  <c r="BD168" i="5"/>
  <c r="BR168" i="5" s="1"/>
  <c r="BF168" i="5"/>
  <c r="BV168" i="5" s="1"/>
  <c r="BI168" i="5"/>
  <c r="AZ169" i="5"/>
  <c r="BJ169" i="5" s="1"/>
  <c r="BB169" i="5"/>
  <c r="BN169" i="5" s="1"/>
  <c r="BD169" i="5"/>
  <c r="BR169" i="5" s="1"/>
  <c r="BF169" i="5"/>
  <c r="BV169" i="5" s="1"/>
  <c r="BI169" i="5"/>
  <c r="AZ170" i="5"/>
  <c r="BJ170" i="5" s="1"/>
  <c r="BB170" i="5"/>
  <c r="BN170" i="5" s="1"/>
  <c r="BD170" i="5"/>
  <c r="BF170" i="5"/>
  <c r="BI170" i="5"/>
  <c r="AZ171" i="5"/>
  <c r="BJ171" i="5" s="1"/>
  <c r="BB171" i="5"/>
  <c r="BN171" i="5" s="1"/>
  <c r="BD171" i="5"/>
  <c r="BR171" i="5" s="1"/>
  <c r="BF171" i="5"/>
  <c r="BI171" i="5"/>
  <c r="AZ172" i="5"/>
  <c r="BJ172" i="5" s="1"/>
  <c r="BB172" i="5"/>
  <c r="BD172" i="5"/>
  <c r="BR172" i="5" s="1"/>
  <c r="BF172" i="5"/>
  <c r="BV172" i="5" s="1"/>
  <c r="BI172" i="5"/>
  <c r="AZ173" i="5"/>
  <c r="BJ173" i="5" s="1"/>
  <c r="BB173" i="5"/>
  <c r="BN173" i="5" s="1"/>
  <c r="BD173" i="5"/>
  <c r="BF173" i="5"/>
  <c r="BI173" i="5"/>
  <c r="AZ174" i="5"/>
  <c r="BJ174" i="5" s="1"/>
  <c r="BB174" i="5"/>
  <c r="BN174" i="5" s="1"/>
  <c r="BD174" i="5"/>
  <c r="BF174" i="5"/>
  <c r="BV174" i="5" s="1"/>
  <c r="BI174" i="5"/>
  <c r="AZ175" i="5"/>
  <c r="BJ175" i="5" s="1"/>
  <c r="BB175" i="5"/>
  <c r="BD175" i="5"/>
  <c r="BF175" i="5"/>
  <c r="BV175" i="5" s="1"/>
  <c r="BI175" i="5"/>
  <c r="AZ176" i="5"/>
  <c r="BJ176" i="5" s="1"/>
  <c r="BB176" i="5"/>
  <c r="BN176" i="5" s="1"/>
  <c r="BD176" i="5"/>
  <c r="BF176" i="5"/>
  <c r="BV176" i="5" s="1"/>
  <c r="BI176" i="5"/>
  <c r="AZ177" i="5"/>
  <c r="BJ177" i="5" s="1"/>
  <c r="BB177" i="5"/>
  <c r="BN177" i="5" s="1"/>
  <c r="BD177" i="5"/>
  <c r="BF177" i="5"/>
  <c r="BI177" i="5"/>
  <c r="AZ178" i="5"/>
  <c r="BJ178" i="5" s="1"/>
  <c r="BB178" i="5"/>
  <c r="BN178" i="5" s="1"/>
  <c r="BD178" i="5"/>
  <c r="BF178" i="5"/>
  <c r="BV178" i="5" s="1"/>
  <c r="BI178" i="5"/>
  <c r="AZ179" i="5"/>
  <c r="BJ179" i="5" s="1"/>
  <c r="BB179" i="5"/>
  <c r="BD179" i="5"/>
  <c r="BR179" i="5" s="1"/>
  <c r="BF179" i="5"/>
  <c r="BV179" i="5" s="1"/>
  <c r="BI179" i="5"/>
  <c r="AZ180" i="5"/>
  <c r="BJ180" i="5" s="1"/>
  <c r="BB180" i="5"/>
  <c r="BD180" i="5"/>
  <c r="BF180" i="5"/>
  <c r="BI180" i="5"/>
  <c r="AZ181" i="5"/>
  <c r="BJ181" i="5" s="1"/>
  <c r="BB181" i="5"/>
  <c r="BN181" i="5" s="1"/>
  <c r="BD181" i="5"/>
  <c r="BR181" i="5" s="1"/>
  <c r="BF181" i="5"/>
  <c r="BI181" i="5"/>
  <c r="AZ182" i="5"/>
  <c r="BB182" i="5"/>
  <c r="BD182" i="5"/>
  <c r="BF182" i="5"/>
  <c r="BV182" i="5" s="1"/>
  <c r="BI182" i="5"/>
  <c r="BJ182" i="5"/>
  <c r="BK182" i="5" s="1"/>
  <c r="BL182" i="5" s="1"/>
  <c r="AZ183" i="5"/>
  <c r="BJ183" i="5" s="1"/>
  <c r="BK183" i="5" s="1"/>
  <c r="BL183" i="5" s="1"/>
  <c r="BB183" i="5"/>
  <c r="BD183" i="5"/>
  <c r="BF183" i="5"/>
  <c r="BI183" i="5"/>
  <c r="AZ184" i="5"/>
  <c r="BJ184" i="5" s="1"/>
  <c r="BB184" i="5"/>
  <c r="BN184" i="5" s="1"/>
  <c r="BD184" i="5"/>
  <c r="BR184" i="5" s="1"/>
  <c r="BF184" i="5"/>
  <c r="BI184" i="5"/>
  <c r="AZ185" i="5"/>
  <c r="BB185" i="5"/>
  <c r="BD185" i="5"/>
  <c r="BR185" i="5" s="1"/>
  <c r="BF185" i="5"/>
  <c r="BV185" i="5" s="1"/>
  <c r="BI185" i="5"/>
  <c r="BJ185" i="5"/>
  <c r="AZ186" i="5"/>
  <c r="BJ186" i="5" s="1"/>
  <c r="BB186" i="5"/>
  <c r="BD186" i="5"/>
  <c r="BF186" i="5"/>
  <c r="BI186" i="5"/>
  <c r="AZ187" i="5"/>
  <c r="BJ187" i="5" s="1"/>
  <c r="BB187" i="5"/>
  <c r="BN187" i="5" s="1"/>
  <c r="BD187" i="5"/>
  <c r="BF187" i="5"/>
  <c r="BI187" i="5"/>
  <c r="AZ188" i="5"/>
  <c r="BJ188" i="5" s="1"/>
  <c r="BB188" i="5"/>
  <c r="BD188" i="5"/>
  <c r="BF188" i="5"/>
  <c r="BV188" i="5" s="1"/>
  <c r="BI188" i="5"/>
  <c r="AZ189" i="5"/>
  <c r="BJ189" i="5" s="1"/>
  <c r="BB189" i="5"/>
  <c r="BD189" i="5"/>
  <c r="BR189" i="5" s="1"/>
  <c r="BF189" i="5"/>
  <c r="BI189" i="5"/>
  <c r="AZ190" i="5"/>
  <c r="BJ190" i="5" s="1"/>
  <c r="BB190" i="5"/>
  <c r="BN190" i="5" s="1"/>
  <c r="BD190" i="5"/>
  <c r="BR190" i="5" s="1"/>
  <c r="BF190" i="5"/>
  <c r="BI190" i="5"/>
  <c r="AZ191" i="5"/>
  <c r="BJ191" i="5" s="1"/>
  <c r="BB191" i="5"/>
  <c r="BD191" i="5"/>
  <c r="BR191" i="5" s="1"/>
  <c r="BF191" i="5"/>
  <c r="BV191" i="5" s="1"/>
  <c r="BI191" i="5"/>
  <c r="AZ192" i="5"/>
  <c r="BJ192" i="5" s="1"/>
  <c r="BB192" i="5"/>
  <c r="BD192" i="5"/>
  <c r="BF192" i="5"/>
  <c r="BI192" i="5"/>
  <c r="AZ193" i="5"/>
  <c r="BJ193" i="5" s="1"/>
  <c r="BB193" i="5"/>
  <c r="BD193" i="5"/>
  <c r="BR193" i="5" s="1"/>
  <c r="BF193" i="5"/>
  <c r="BV193" i="5" s="1"/>
  <c r="BI193" i="5"/>
  <c r="AZ194" i="5"/>
  <c r="BJ194" i="5" s="1"/>
  <c r="BB194" i="5"/>
  <c r="BD194" i="5"/>
  <c r="BF194" i="5"/>
  <c r="BV194" i="5" s="1"/>
  <c r="BI194" i="5"/>
  <c r="AZ195" i="5"/>
  <c r="BJ195" i="5" s="1"/>
  <c r="BB195" i="5"/>
  <c r="BD195" i="5"/>
  <c r="BR195" i="5" s="1"/>
  <c r="BF195" i="5"/>
  <c r="BI195" i="5"/>
  <c r="AZ196" i="5"/>
  <c r="BJ196" i="5" s="1"/>
  <c r="BB196" i="5"/>
  <c r="BD196" i="5"/>
  <c r="BR196" i="5" s="1"/>
  <c r="BF196" i="5"/>
  <c r="BV196" i="5" s="1"/>
  <c r="BI196" i="5"/>
  <c r="AZ197" i="5"/>
  <c r="BJ197" i="5" s="1"/>
  <c r="BB197" i="5"/>
  <c r="BD197" i="5"/>
  <c r="BR197" i="5" s="1"/>
  <c r="BF197" i="5"/>
  <c r="BI197" i="5"/>
  <c r="AZ198" i="5"/>
  <c r="BJ198" i="5" s="1"/>
  <c r="BB198" i="5"/>
  <c r="BD198" i="5"/>
  <c r="BR198" i="5" s="1"/>
  <c r="BF198" i="5"/>
  <c r="BI198" i="5"/>
  <c r="AZ199" i="5"/>
  <c r="BJ199" i="5" s="1"/>
  <c r="BB199" i="5"/>
  <c r="BN199" i="5" s="1"/>
  <c r="BD199" i="5"/>
  <c r="BR199" i="5" s="1"/>
  <c r="BF199" i="5"/>
  <c r="BV199" i="5" s="1"/>
  <c r="BI199" i="5"/>
  <c r="AZ200" i="5"/>
  <c r="BJ200" i="5" s="1"/>
  <c r="BB200" i="5"/>
  <c r="BD200" i="5"/>
  <c r="BF200" i="5"/>
  <c r="BI200" i="5"/>
  <c r="AZ201" i="5"/>
  <c r="BJ201" i="5" s="1"/>
  <c r="BB201" i="5"/>
  <c r="BD201" i="5"/>
  <c r="BR201" i="5" s="1"/>
  <c r="BF201" i="5"/>
  <c r="BV201" i="5" s="1"/>
  <c r="BI201" i="5"/>
  <c r="AZ202" i="5"/>
  <c r="BJ202" i="5" s="1"/>
  <c r="BB202" i="5"/>
  <c r="BD202" i="5"/>
  <c r="BR202" i="5" s="1"/>
  <c r="BF202" i="5"/>
  <c r="BV202" i="5" s="1"/>
  <c r="BI202" i="5"/>
  <c r="AZ203" i="5"/>
  <c r="BJ203" i="5" s="1"/>
  <c r="BB203" i="5"/>
  <c r="BN203" i="5" s="1"/>
  <c r="BD203" i="5"/>
  <c r="BF203" i="5"/>
  <c r="BI203" i="5"/>
  <c r="AZ204" i="5"/>
  <c r="BJ204" i="5" s="1"/>
  <c r="BB204" i="5"/>
  <c r="BN204" i="5" s="1"/>
  <c r="BD204" i="5"/>
  <c r="BF204" i="5"/>
  <c r="BV204" i="5" s="1"/>
  <c r="BI204" i="5"/>
  <c r="AZ205" i="5"/>
  <c r="BJ205" i="5" s="1"/>
  <c r="BB205" i="5"/>
  <c r="BN205" i="5" s="1"/>
  <c r="BD205" i="5"/>
  <c r="BR205" i="5" s="1"/>
  <c r="BF205" i="5"/>
  <c r="BI205" i="5"/>
  <c r="AZ206" i="5"/>
  <c r="BJ206" i="5" s="1"/>
  <c r="BB206" i="5"/>
  <c r="BN206" i="5" s="1"/>
  <c r="BD206" i="5"/>
  <c r="BF206" i="5"/>
  <c r="BI206" i="5"/>
  <c r="AZ207" i="5"/>
  <c r="BJ207" i="5" s="1"/>
  <c r="BB207" i="5"/>
  <c r="BN207" i="5" s="1"/>
  <c r="BD207" i="5"/>
  <c r="BF207" i="5"/>
  <c r="BV207" i="5" s="1"/>
  <c r="BI207" i="5"/>
  <c r="AZ208" i="5"/>
  <c r="BJ208" i="5" s="1"/>
  <c r="BB208" i="5"/>
  <c r="BN208" i="5" s="1"/>
  <c r="BD208" i="5"/>
  <c r="BR208" i="5" s="1"/>
  <c r="BF208" i="5"/>
  <c r="BI208" i="5"/>
  <c r="AZ209" i="5"/>
  <c r="BJ209" i="5" s="1"/>
  <c r="BB209" i="5"/>
  <c r="BN209" i="5" s="1"/>
  <c r="BD209" i="5"/>
  <c r="BR209" i="5" s="1"/>
  <c r="BF209" i="5"/>
  <c r="BV209" i="5" s="1"/>
  <c r="BI209" i="5"/>
  <c r="AZ210" i="5"/>
  <c r="BJ210" i="5" s="1"/>
  <c r="BB210" i="5"/>
  <c r="BD210" i="5"/>
  <c r="BR210" i="5" s="1"/>
  <c r="BF210" i="5"/>
  <c r="BV210" i="5" s="1"/>
  <c r="BI210" i="5"/>
  <c r="AZ211" i="5"/>
  <c r="BB211" i="5"/>
  <c r="BN211" i="5" s="1"/>
  <c r="BD211" i="5"/>
  <c r="BR211" i="5" s="1"/>
  <c r="BF211" i="5"/>
  <c r="BI211" i="5"/>
  <c r="BJ211" i="5"/>
  <c r="AZ212" i="5"/>
  <c r="BJ212" i="5" s="1"/>
  <c r="BB212" i="5"/>
  <c r="BN212" i="5" s="1"/>
  <c r="BD212" i="5"/>
  <c r="BF212" i="5"/>
  <c r="BV212" i="5" s="1"/>
  <c r="BI212" i="5"/>
  <c r="AZ213" i="5"/>
  <c r="BJ213" i="5" s="1"/>
  <c r="BB213" i="5"/>
  <c r="BD213" i="5"/>
  <c r="BR213" i="5" s="1"/>
  <c r="BF213" i="5"/>
  <c r="BV213" i="5" s="1"/>
  <c r="BI213" i="5"/>
  <c r="AZ214" i="5"/>
  <c r="BJ214" i="5" s="1"/>
  <c r="BB214" i="5"/>
  <c r="BN214" i="5" s="1"/>
  <c r="BD214" i="5"/>
  <c r="BF214" i="5"/>
  <c r="BI214" i="5"/>
  <c r="AZ215" i="5"/>
  <c r="BJ215" i="5" s="1"/>
  <c r="BB215" i="5"/>
  <c r="BN215" i="5" s="1"/>
  <c r="BD215" i="5"/>
  <c r="BR215" i="5" s="1"/>
  <c r="BF215" i="5"/>
  <c r="BV215" i="5" s="1"/>
  <c r="BI215" i="5"/>
  <c r="AZ216" i="5"/>
  <c r="BJ216" i="5" s="1"/>
  <c r="BB216" i="5"/>
  <c r="BD216" i="5"/>
  <c r="BR216" i="5" s="1"/>
  <c r="BF216" i="5"/>
  <c r="BV216" i="5" s="1"/>
  <c r="BI216" i="5"/>
  <c r="AZ217" i="5"/>
  <c r="BJ217" i="5" s="1"/>
  <c r="BB217" i="5"/>
  <c r="BN217" i="5" s="1"/>
  <c r="BD217" i="5"/>
  <c r="BR217" i="5" s="1"/>
  <c r="BF217" i="5"/>
  <c r="BI217" i="5"/>
  <c r="AZ218" i="5"/>
  <c r="BJ218" i="5" s="1"/>
  <c r="BB218" i="5"/>
  <c r="BN218" i="5" s="1"/>
  <c r="BD218" i="5"/>
  <c r="BR218" i="5" s="1"/>
  <c r="BF218" i="5"/>
  <c r="BV218" i="5" s="1"/>
  <c r="BI218" i="5"/>
  <c r="AZ219" i="5"/>
  <c r="BJ219" i="5" s="1"/>
  <c r="BB219" i="5"/>
  <c r="BD219" i="5"/>
  <c r="BR219" i="5" s="1"/>
  <c r="BF219" i="5"/>
  <c r="BI219" i="5"/>
  <c r="AZ220" i="5"/>
  <c r="BJ220" i="5" s="1"/>
  <c r="BB220" i="5"/>
  <c r="BN220" i="5" s="1"/>
  <c r="BD220" i="5"/>
  <c r="BR220" i="5" s="1"/>
  <c r="BF220" i="5"/>
  <c r="BV220" i="5" s="1"/>
  <c r="BI220" i="5"/>
  <c r="AZ221" i="5"/>
  <c r="BB221" i="5"/>
  <c r="BD221" i="5"/>
  <c r="BF221" i="5"/>
  <c r="BV221" i="5" s="1"/>
  <c r="BI221" i="5"/>
  <c r="BJ221" i="5"/>
  <c r="B1" i="2"/>
  <c r="C1" i="2"/>
  <c r="S21" i="11"/>
  <c r="R21" i="11"/>
  <c r="Q21" i="11"/>
  <c r="P21" i="11"/>
  <c r="O21" i="11"/>
  <c r="N21" i="11"/>
  <c r="M21" i="11"/>
  <c r="L21" i="11"/>
  <c r="K21" i="11"/>
  <c r="J21" i="11"/>
  <c r="I21" i="11"/>
  <c r="I18" i="10"/>
  <c r="K17" i="10"/>
  <c r="L17" i="10" s="1"/>
  <c r="E26" i="2" s="1"/>
  <c r="I17" i="10"/>
  <c r="I16" i="10"/>
  <c r="K16" i="10" s="1"/>
  <c r="L16" i="10" s="1"/>
  <c r="D26" i="2" s="1"/>
  <c r="I15" i="10"/>
  <c r="K15" i="10" s="1"/>
  <c r="L15" i="10" s="1"/>
  <c r="C26" i="2" s="1"/>
  <c r="K14" i="10"/>
  <c r="L14" i="10" s="1"/>
  <c r="B26" i="2" s="1"/>
  <c r="I14" i="10"/>
  <c r="D6" i="10"/>
  <c r="C6" i="11" s="1"/>
  <c r="D5" i="10"/>
  <c r="C5" i="11" s="1"/>
  <c r="D4" i="10"/>
  <c r="C4" i="11" s="1"/>
  <c r="D3" i="10"/>
  <c r="C3" i="11" s="1"/>
  <c r="D2" i="10"/>
  <c r="C33" i="10" s="1"/>
  <c r="S36" i="8"/>
  <c r="R36" i="8"/>
  <c r="Q33" i="8" s="1"/>
  <c r="Q36" i="8"/>
  <c r="P36" i="8"/>
  <c r="O36" i="8"/>
  <c r="N33" i="8" s="1"/>
  <c r="N36" i="8"/>
  <c r="M33" i="8" s="1"/>
  <c r="M36" i="8"/>
  <c r="L33" i="8" s="1"/>
  <c r="L36" i="8"/>
  <c r="K33" i="8" s="1"/>
  <c r="K36" i="8"/>
  <c r="J36" i="8"/>
  <c r="I33" i="8" s="1"/>
  <c r="I36" i="8"/>
  <c r="R33" i="8"/>
  <c r="P33" i="8"/>
  <c r="O33" i="8"/>
  <c r="J33" i="8"/>
  <c r="H33" i="8"/>
  <c r="S32" i="8"/>
  <c r="R32" i="8"/>
  <c r="Q32" i="8"/>
  <c r="P32" i="8"/>
  <c r="O32" i="8"/>
  <c r="N32" i="8"/>
  <c r="M32" i="8"/>
  <c r="L32" i="8"/>
  <c r="K32" i="8"/>
  <c r="J32" i="8"/>
  <c r="I32" i="8"/>
  <c r="H32" i="8"/>
  <c r="S31" i="8"/>
  <c r="R31" i="8"/>
  <c r="Q31" i="8"/>
  <c r="P31" i="8"/>
  <c r="O31" i="8"/>
  <c r="N31" i="8"/>
  <c r="M31" i="8"/>
  <c r="L31" i="8"/>
  <c r="K31" i="8"/>
  <c r="J31" i="8"/>
  <c r="I31" i="8"/>
  <c r="H31" i="8"/>
  <c r="S30" i="8"/>
  <c r="R30" i="8"/>
  <c r="Q30" i="8"/>
  <c r="P30" i="8"/>
  <c r="O30" i="8"/>
  <c r="N30" i="8"/>
  <c r="M30" i="8"/>
  <c r="L30" i="8"/>
  <c r="K30" i="8"/>
  <c r="J30" i="8"/>
  <c r="I30" i="8"/>
  <c r="H30" i="8"/>
  <c r="S29" i="8"/>
  <c r="R29" i="8"/>
  <c r="Q29" i="8"/>
  <c r="P29" i="8"/>
  <c r="O29" i="8"/>
  <c r="N29" i="8"/>
  <c r="M29" i="8"/>
  <c r="L29" i="8"/>
  <c r="K29" i="8"/>
  <c r="J29" i="8"/>
  <c r="I29" i="8"/>
  <c r="H29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G24" i="8"/>
  <c r="F24" i="8"/>
  <c r="E24" i="8"/>
  <c r="D24" i="8"/>
  <c r="C24" i="8"/>
  <c r="G23" i="8"/>
  <c r="F23" i="8"/>
  <c r="F32" i="8" s="1"/>
  <c r="E23" i="8"/>
  <c r="E32" i="8" s="1"/>
  <c r="D23" i="8"/>
  <c r="D32" i="8" s="1"/>
  <c r="C23" i="8"/>
  <c r="G22" i="8"/>
  <c r="G31" i="8" s="1"/>
  <c r="F22" i="8"/>
  <c r="F31" i="8" s="1"/>
  <c r="E22" i="8"/>
  <c r="D22" i="8"/>
  <c r="D31" i="8" s="1"/>
  <c r="C22" i="8"/>
  <c r="G21" i="8"/>
  <c r="G30" i="8" s="1"/>
  <c r="F21" i="8"/>
  <c r="F30" i="8" s="1"/>
  <c r="E21" i="8"/>
  <c r="E30" i="8" s="1"/>
  <c r="D21" i="8"/>
  <c r="D30" i="8" s="1"/>
  <c r="C21" i="8"/>
  <c r="G20" i="8"/>
  <c r="F20" i="8"/>
  <c r="E20" i="8"/>
  <c r="E29" i="8" s="1"/>
  <c r="D20" i="8"/>
  <c r="C20" i="8"/>
  <c r="E16" i="8"/>
  <c r="D6" i="8"/>
  <c r="D6" i="7" s="1"/>
  <c r="D5" i="8"/>
  <c r="D5" i="7" s="1"/>
  <c r="D4" i="8"/>
  <c r="D3" i="8"/>
  <c r="D2" i="8"/>
  <c r="D2" i="7" s="1"/>
  <c r="C61" i="7" s="1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S51" i="7"/>
  <c r="N51" i="7"/>
  <c r="K51" i="7"/>
  <c r="F51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E22" i="7"/>
  <c r="M51" i="7" s="1"/>
  <c r="BZ221" i="5"/>
  <c r="BY221" i="5"/>
  <c r="BR221" i="5"/>
  <c r="BN221" i="5"/>
  <c r="V221" i="5"/>
  <c r="BZ220" i="5"/>
  <c r="BY220" i="5"/>
  <c r="V220" i="5"/>
  <c r="BZ219" i="5"/>
  <c r="BY219" i="5"/>
  <c r="BV219" i="5"/>
  <c r="BN219" i="5"/>
  <c r="V219" i="5"/>
  <c r="BZ218" i="5"/>
  <c r="CA218" i="5" s="1"/>
  <c r="CB218" i="5" s="1"/>
  <c r="BY218" i="5"/>
  <c r="V218" i="5"/>
  <c r="BZ217" i="5"/>
  <c r="BY217" i="5"/>
  <c r="BV217" i="5"/>
  <c r="V217" i="5"/>
  <c r="BZ216" i="5"/>
  <c r="BY216" i="5"/>
  <c r="BN216" i="5"/>
  <c r="V216" i="5"/>
  <c r="BZ215" i="5"/>
  <c r="BY215" i="5"/>
  <c r="V215" i="5"/>
  <c r="BZ214" i="5"/>
  <c r="BY214" i="5"/>
  <c r="BV214" i="5"/>
  <c r="BR214" i="5"/>
  <c r="V214" i="5"/>
  <c r="BZ213" i="5"/>
  <c r="BY213" i="5"/>
  <c r="BN213" i="5"/>
  <c r="V213" i="5"/>
  <c r="BZ212" i="5"/>
  <c r="BY212" i="5"/>
  <c r="BR212" i="5"/>
  <c r="V212" i="5"/>
  <c r="BZ211" i="5"/>
  <c r="BY211" i="5"/>
  <c r="BV211" i="5"/>
  <c r="V211" i="5"/>
  <c r="BZ210" i="5"/>
  <c r="BY210" i="5"/>
  <c r="BN210" i="5"/>
  <c r="V210" i="5"/>
  <c r="BZ209" i="5"/>
  <c r="BY209" i="5"/>
  <c r="V209" i="5"/>
  <c r="BZ208" i="5"/>
  <c r="BY208" i="5"/>
  <c r="CA208" i="5" s="1"/>
  <c r="CB208" i="5" s="1"/>
  <c r="BV208" i="5"/>
  <c r="V208" i="5"/>
  <c r="BZ207" i="5"/>
  <c r="BY207" i="5"/>
  <c r="BR207" i="5"/>
  <c r="V207" i="5"/>
  <c r="BZ206" i="5"/>
  <c r="BY206" i="5"/>
  <c r="BV206" i="5"/>
  <c r="BR206" i="5"/>
  <c r="V206" i="5"/>
  <c r="BZ205" i="5"/>
  <c r="BY205" i="5"/>
  <c r="BV205" i="5"/>
  <c r="V205" i="5"/>
  <c r="BZ204" i="5"/>
  <c r="BY204" i="5"/>
  <c r="BR204" i="5"/>
  <c r="V204" i="5"/>
  <c r="BZ203" i="5"/>
  <c r="BY203" i="5"/>
  <c r="BV203" i="5"/>
  <c r="BR203" i="5"/>
  <c r="V203" i="5"/>
  <c r="BZ202" i="5"/>
  <c r="BY202" i="5"/>
  <c r="BN202" i="5"/>
  <c r="V202" i="5"/>
  <c r="BZ201" i="5"/>
  <c r="BY201" i="5"/>
  <c r="BN201" i="5"/>
  <c r="V201" i="5"/>
  <c r="BZ200" i="5"/>
  <c r="BY200" i="5"/>
  <c r="BV200" i="5"/>
  <c r="BR200" i="5"/>
  <c r="BN200" i="5"/>
  <c r="V200" i="5"/>
  <c r="BZ199" i="5"/>
  <c r="BY199" i="5"/>
  <c r="V199" i="5"/>
  <c r="BZ198" i="5"/>
  <c r="BY198" i="5"/>
  <c r="BV198" i="5"/>
  <c r="BN198" i="5"/>
  <c r="V198" i="5"/>
  <c r="BZ197" i="5"/>
  <c r="BY197" i="5"/>
  <c r="BV197" i="5"/>
  <c r="BN197" i="5"/>
  <c r="V197" i="5"/>
  <c r="BZ196" i="5"/>
  <c r="BY196" i="5"/>
  <c r="BN196" i="5"/>
  <c r="V196" i="5"/>
  <c r="BZ195" i="5"/>
  <c r="BY195" i="5"/>
  <c r="BV195" i="5"/>
  <c r="BN195" i="5"/>
  <c r="V195" i="5"/>
  <c r="BZ194" i="5"/>
  <c r="BY194" i="5"/>
  <c r="BR194" i="5"/>
  <c r="BN194" i="5"/>
  <c r="V194" i="5"/>
  <c r="BZ193" i="5"/>
  <c r="BY193" i="5"/>
  <c r="BN193" i="5"/>
  <c r="V193" i="5"/>
  <c r="BZ192" i="5"/>
  <c r="BY192" i="5"/>
  <c r="BV192" i="5"/>
  <c r="BR192" i="5"/>
  <c r="BN192" i="5"/>
  <c r="V192" i="5"/>
  <c r="BZ191" i="5"/>
  <c r="BY191" i="5"/>
  <c r="BN191" i="5"/>
  <c r="V191" i="5"/>
  <c r="BZ190" i="5"/>
  <c r="BY190" i="5"/>
  <c r="BV190" i="5"/>
  <c r="V190" i="5"/>
  <c r="BZ189" i="5"/>
  <c r="BY189" i="5"/>
  <c r="BV189" i="5"/>
  <c r="BN189" i="5"/>
  <c r="V189" i="5"/>
  <c r="BZ188" i="5"/>
  <c r="BY188" i="5"/>
  <c r="BR188" i="5"/>
  <c r="BN188" i="5"/>
  <c r="V188" i="5"/>
  <c r="BZ187" i="5"/>
  <c r="BY187" i="5"/>
  <c r="BV187" i="5"/>
  <c r="BR187" i="5"/>
  <c r="V187" i="5"/>
  <c r="BZ186" i="5"/>
  <c r="BY186" i="5"/>
  <c r="BV186" i="5"/>
  <c r="BR186" i="5"/>
  <c r="BN186" i="5"/>
  <c r="V186" i="5"/>
  <c r="BZ185" i="5"/>
  <c r="BY185" i="5"/>
  <c r="BN185" i="5"/>
  <c r="V185" i="5"/>
  <c r="BZ184" i="5"/>
  <c r="BY184" i="5"/>
  <c r="BV184" i="5"/>
  <c r="V184" i="5"/>
  <c r="BZ183" i="5"/>
  <c r="BY183" i="5"/>
  <c r="CA183" i="5" s="1"/>
  <c r="CB183" i="5" s="1"/>
  <c r="BV183" i="5"/>
  <c r="BR183" i="5"/>
  <c r="BN183" i="5"/>
  <c r="V183" i="5"/>
  <c r="BZ182" i="5"/>
  <c r="BY182" i="5"/>
  <c r="BR182" i="5"/>
  <c r="BN182" i="5"/>
  <c r="V182" i="5"/>
  <c r="BZ181" i="5"/>
  <c r="BY181" i="5"/>
  <c r="BV181" i="5"/>
  <c r="V181" i="5"/>
  <c r="BZ180" i="5"/>
  <c r="BY180" i="5"/>
  <c r="BV180" i="5"/>
  <c r="BR180" i="5"/>
  <c r="BN180" i="5"/>
  <c r="V180" i="5"/>
  <c r="BZ179" i="5"/>
  <c r="BY179" i="5"/>
  <c r="BN179" i="5"/>
  <c r="V179" i="5"/>
  <c r="BZ178" i="5"/>
  <c r="BY178" i="5"/>
  <c r="BR178" i="5"/>
  <c r="V178" i="5"/>
  <c r="BZ177" i="5"/>
  <c r="BY177" i="5"/>
  <c r="BR177" i="5"/>
  <c r="BV177" i="5"/>
  <c r="V177" i="5"/>
  <c r="BZ176" i="5"/>
  <c r="BY176" i="5"/>
  <c r="BR176" i="5"/>
  <c r="V176" i="5"/>
  <c r="BZ175" i="5"/>
  <c r="BY175" i="5"/>
  <c r="BR175" i="5"/>
  <c r="BN175" i="5"/>
  <c r="V175" i="5"/>
  <c r="BZ174" i="5"/>
  <c r="BY174" i="5"/>
  <c r="BR174" i="5"/>
  <c r="V174" i="5"/>
  <c r="BZ173" i="5"/>
  <c r="BY173" i="5"/>
  <c r="BV173" i="5"/>
  <c r="BR173" i="5"/>
  <c r="V173" i="5"/>
  <c r="BZ172" i="5"/>
  <c r="BY172" i="5"/>
  <c r="BN172" i="5"/>
  <c r="V172" i="5"/>
  <c r="BZ171" i="5"/>
  <c r="BY171" i="5"/>
  <c r="BV171" i="5"/>
  <c r="V171" i="5"/>
  <c r="BZ170" i="5"/>
  <c r="BY170" i="5"/>
  <c r="BV170" i="5"/>
  <c r="BR170" i="5"/>
  <c r="V170" i="5"/>
  <c r="BZ169" i="5"/>
  <c r="BY169" i="5"/>
  <c r="V169" i="5"/>
  <c r="BZ168" i="5"/>
  <c r="BY168" i="5"/>
  <c r="BN168" i="5"/>
  <c r="V168" i="5"/>
  <c r="BZ167" i="5"/>
  <c r="BY167" i="5"/>
  <c r="BV167" i="5"/>
  <c r="BR167" i="5"/>
  <c r="V167" i="5"/>
  <c r="BZ166" i="5"/>
  <c r="BY166" i="5"/>
  <c r="BR166" i="5"/>
  <c r="V166" i="5"/>
  <c r="BZ165" i="5"/>
  <c r="BY165" i="5"/>
  <c r="V165" i="5"/>
  <c r="BZ164" i="5"/>
  <c r="BY164" i="5"/>
  <c r="BR164" i="5"/>
  <c r="BN164" i="5"/>
  <c r="V164" i="5"/>
  <c r="BZ163" i="5"/>
  <c r="BY163" i="5"/>
  <c r="V163" i="5"/>
  <c r="BZ162" i="5"/>
  <c r="BY162" i="5"/>
  <c r="BV162" i="5"/>
  <c r="V162" i="5"/>
  <c r="BZ161" i="5"/>
  <c r="BY161" i="5"/>
  <c r="BN161" i="5"/>
  <c r="V161" i="5"/>
  <c r="BZ160" i="5"/>
  <c r="BY160" i="5"/>
  <c r="V160" i="5"/>
  <c r="BZ159" i="5"/>
  <c r="BY159" i="5"/>
  <c r="BV159" i="5"/>
  <c r="BR159" i="5"/>
  <c r="V159" i="5"/>
  <c r="BZ158" i="5"/>
  <c r="BY158" i="5"/>
  <c r="BR158" i="5"/>
  <c r="V158" i="5"/>
  <c r="BZ157" i="5"/>
  <c r="BY157" i="5"/>
  <c r="BR157" i="5"/>
  <c r="V157" i="5"/>
  <c r="BZ156" i="5"/>
  <c r="BY156" i="5"/>
  <c r="BR156" i="5"/>
  <c r="BN156" i="5"/>
  <c r="V156" i="5"/>
  <c r="BZ155" i="5"/>
  <c r="BY155" i="5"/>
  <c r="V155" i="5"/>
  <c r="BZ154" i="5"/>
  <c r="BY154" i="5"/>
  <c r="CA154" i="5" s="1"/>
  <c r="CB154" i="5" s="1"/>
  <c r="BV154" i="5"/>
  <c r="V154" i="5"/>
  <c r="BZ153" i="5"/>
  <c r="BY153" i="5"/>
  <c r="BN153" i="5"/>
  <c r="V153" i="5"/>
  <c r="BZ152" i="5"/>
  <c r="BY152" i="5"/>
  <c r="BR152" i="5"/>
  <c r="V152" i="5"/>
  <c r="BZ151" i="5"/>
  <c r="BY151" i="5"/>
  <c r="BV151" i="5"/>
  <c r="BR151" i="5"/>
  <c r="V151" i="5"/>
  <c r="BZ150" i="5"/>
  <c r="BY150" i="5"/>
  <c r="BR150" i="5"/>
  <c r="V150" i="5"/>
  <c r="BZ149" i="5"/>
  <c r="BY149" i="5"/>
  <c r="V149" i="5"/>
  <c r="BZ148" i="5"/>
  <c r="BY148" i="5"/>
  <c r="BR148" i="5"/>
  <c r="BN148" i="5"/>
  <c r="V148" i="5"/>
  <c r="BZ147" i="5"/>
  <c r="BY147" i="5"/>
  <c r="BV147" i="5"/>
  <c r="V147" i="5"/>
  <c r="BZ146" i="5"/>
  <c r="BY146" i="5"/>
  <c r="BV146" i="5"/>
  <c r="V146" i="5"/>
  <c r="BZ145" i="5"/>
  <c r="BY145" i="5"/>
  <c r="BN145" i="5"/>
  <c r="V145" i="5"/>
  <c r="BZ144" i="5"/>
  <c r="BY144" i="5"/>
  <c r="V144" i="5"/>
  <c r="BZ143" i="5"/>
  <c r="BY143" i="5"/>
  <c r="BV143" i="5"/>
  <c r="BR143" i="5"/>
  <c r="V143" i="5"/>
  <c r="BZ142" i="5"/>
  <c r="BY142" i="5"/>
  <c r="BR142" i="5"/>
  <c r="BN142" i="5"/>
  <c r="V142" i="5"/>
  <c r="BZ141" i="5"/>
  <c r="BY141" i="5"/>
  <c r="V141" i="5"/>
  <c r="BZ140" i="5"/>
  <c r="BY140" i="5"/>
  <c r="BR140" i="5"/>
  <c r="BN140" i="5"/>
  <c r="V140" i="5"/>
  <c r="BZ139" i="5"/>
  <c r="BY139" i="5"/>
  <c r="V139" i="5"/>
  <c r="BZ138" i="5"/>
  <c r="BY138" i="5"/>
  <c r="BV138" i="5"/>
  <c r="V138" i="5"/>
  <c r="BZ137" i="5"/>
  <c r="BY137" i="5"/>
  <c r="BN137" i="5"/>
  <c r="V137" i="5"/>
  <c r="BZ136" i="5"/>
  <c r="BY136" i="5"/>
  <c r="V136" i="5"/>
  <c r="BZ135" i="5"/>
  <c r="BY135" i="5"/>
  <c r="BV135" i="5"/>
  <c r="BR135" i="5"/>
  <c r="V135" i="5"/>
  <c r="BZ134" i="5"/>
  <c r="BY134" i="5"/>
  <c r="BR134" i="5"/>
  <c r="V134" i="5"/>
  <c r="BZ133" i="5"/>
  <c r="BY133" i="5"/>
  <c r="BR133" i="5"/>
  <c r="V133" i="5"/>
  <c r="BZ132" i="5"/>
  <c r="BY132" i="5"/>
  <c r="BR132" i="5"/>
  <c r="BN132" i="5"/>
  <c r="V132" i="5"/>
  <c r="BZ131" i="5"/>
  <c r="BY131" i="5"/>
  <c r="V131" i="5"/>
  <c r="BZ130" i="5"/>
  <c r="BY130" i="5"/>
  <c r="BV130" i="5"/>
  <c r="V130" i="5"/>
  <c r="BZ129" i="5"/>
  <c r="BY129" i="5"/>
  <c r="BN129" i="5"/>
  <c r="V129" i="5"/>
  <c r="BZ128" i="5"/>
  <c r="BY128" i="5"/>
  <c r="BR128" i="5"/>
  <c r="V128" i="5"/>
  <c r="BZ127" i="5"/>
  <c r="BY127" i="5"/>
  <c r="BV127" i="5"/>
  <c r="BR127" i="5"/>
  <c r="V127" i="5"/>
  <c r="BZ126" i="5"/>
  <c r="BY126" i="5"/>
  <c r="BR126" i="5"/>
  <c r="V126" i="5"/>
  <c r="BZ125" i="5"/>
  <c r="BY125" i="5"/>
  <c r="V125" i="5"/>
  <c r="BZ124" i="5"/>
  <c r="BY124" i="5"/>
  <c r="BV124" i="5"/>
  <c r="BR124" i="5"/>
  <c r="BN124" i="5"/>
  <c r="V124" i="5"/>
  <c r="BZ123" i="5"/>
  <c r="BY123" i="5"/>
  <c r="BV123" i="5"/>
  <c r="V123" i="5"/>
  <c r="BZ122" i="5"/>
  <c r="BY122" i="5"/>
  <c r="BV122" i="5"/>
  <c r="BR122" i="5"/>
  <c r="V122" i="5"/>
  <c r="BZ121" i="5"/>
  <c r="BY121" i="5"/>
  <c r="BR121" i="5"/>
  <c r="BN121" i="5"/>
  <c r="V121" i="5"/>
  <c r="BZ120" i="5"/>
  <c r="BY120" i="5"/>
  <c r="BR120" i="5"/>
  <c r="V120" i="5"/>
  <c r="BZ119" i="5"/>
  <c r="BY119" i="5"/>
  <c r="BV119" i="5"/>
  <c r="BR119" i="5"/>
  <c r="V119" i="5"/>
  <c r="BZ118" i="5"/>
  <c r="BY118" i="5"/>
  <c r="BR118" i="5"/>
  <c r="V118" i="5"/>
  <c r="BZ117" i="5"/>
  <c r="BY117" i="5"/>
  <c r="V117" i="5"/>
  <c r="BZ116" i="5"/>
  <c r="BY116" i="5"/>
  <c r="BR116" i="5"/>
  <c r="BN116" i="5"/>
  <c r="V116" i="5"/>
  <c r="BZ115" i="5"/>
  <c r="BY115" i="5"/>
  <c r="V115" i="5"/>
  <c r="BZ114" i="5"/>
  <c r="BY114" i="5"/>
  <c r="BR114" i="5"/>
  <c r="BV114" i="5"/>
  <c r="V114" i="5"/>
  <c r="BZ113" i="5"/>
  <c r="BY113" i="5"/>
  <c r="BN113" i="5"/>
  <c r="V113" i="5"/>
  <c r="BZ112" i="5"/>
  <c r="BY112" i="5"/>
  <c r="V112" i="5"/>
  <c r="BZ111" i="5"/>
  <c r="BY111" i="5"/>
  <c r="BV111" i="5"/>
  <c r="BR111" i="5"/>
  <c r="V111" i="5"/>
  <c r="BZ110" i="5"/>
  <c r="BY110" i="5"/>
  <c r="V110" i="5"/>
  <c r="BZ109" i="5"/>
  <c r="BY109" i="5"/>
  <c r="BR109" i="5"/>
  <c r="BN109" i="5"/>
  <c r="V109" i="5"/>
  <c r="BZ108" i="5"/>
  <c r="BY108" i="5"/>
  <c r="BR108" i="5"/>
  <c r="BN108" i="5"/>
  <c r="V108" i="5"/>
  <c r="BZ107" i="5"/>
  <c r="BY107" i="5"/>
  <c r="BV107" i="5"/>
  <c r="V107" i="5"/>
  <c r="BZ106" i="5"/>
  <c r="BY106" i="5"/>
  <c r="BV106" i="5"/>
  <c r="BN106" i="5"/>
  <c r="V106" i="5"/>
  <c r="BZ105" i="5"/>
  <c r="BY105" i="5"/>
  <c r="CA105" i="5" s="1"/>
  <c r="CB105" i="5" s="1"/>
  <c r="BN105" i="5"/>
  <c r="V105" i="5"/>
  <c r="BZ104" i="5"/>
  <c r="BY104" i="5"/>
  <c r="BV104" i="5"/>
  <c r="BR104" i="5"/>
  <c r="V104" i="5"/>
  <c r="BZ103" i="5"/>
  <c r="BY103" i="5"/>
  <c r="BR103" i="5"/>
  <c r="V103" i="5"/>
  <c r="BZ102" i="5"/>
  <c r="BY102" i="5"/>
  <c r="BV102" i="5"/>
  <c r="V102" i="5"/>
  <c r="BZ101" i="5"/>
  <c r="BY101" i="5"/>
  <c r="BR101" i="5"/>
  <c r="BN101" i="5"/>
  <c r="V101" i="5"/>
  <c r="BZ100" i="5"/>
  <c r="BY100" i="5"/>
  <c r="V100" i="5"/>
  <c r="BZ99" i="5"/>
  <c r="BY99" i="5"/>
  <c r="BV99" i="5"/>
  <c r="V99" i="5"/>
  <c r="BZ98" i="5"/>
  <c r="BY98" i="5"/>
  <c r="BN98" i="5"/>
  <c r="V98" i="5"/>
  <c r="BZ97" i="5"/>
  <c r="BY97" i="5"/>
  <c r="CA97" i="5" s="1"/>
  <c r="CB97" i="5" s="1"/>
  <c r="V97" i="5"/>
  <c r="BZ96" i="5"/>
  <c r="BY96" i="5"/>
  <c r="BV96" i="5"/>
  <c r="BR96" i="5"/>
  <c r="V96" i="5"/>
  <c r="BZ95" i="5"/>
  <c r="BY95" i="5"/>
  <c r="V95" i="5"/>
  <c r="BZ94" i="5"/>
  <c r="BY94" i="5"/>
  <c r="BV94" i="5"/>
  <c r="V94" i="5"/>
  <c r="BZ93" i="5"/>
  <c r="BY93" i="5"/>
  <c r="BN93" i="5"/>
  <c r="V93" i="5"/>
  <c r="BZ92" i="5"/>
  <c r="BY92" i="5"/>
  <c r="BR92" i="5"/>
  <c r="V92" i="5"/>
  <c r="BZ91" i="5"/>
  <c r="BY91" i="5"/>
  <c r="BN91" i="5"/>
  <c r="V91" i="5"/>
  <c r="BZ90" i="5"/>
  <c r="BY90" i="5"/>
  <c r="V90" i="5"/>
  <c r="BZ89" i="5"/>
  <c r="BY89" i="5"/>
  <c r="CA89" i="5" s="1"/>
  <c r="CB89" i="5" s="1"/>
  <c r="BV89" i="5"/>
  <c r="BN89" i="5"/>
  <c r="V89" i="5"/>
  <c r="BZ88" i="5"/>
  <c r="BY88" i="5"/>
  <c r="V88" i="5"/>
  <c r="BZ87" i="5"/>
  <c r="BY87" i="5"/>
  <c r="BR87" i="5"/>
  <c r="BV87" i="5"/>
  <c r="V87" i="5"/>
  <c r="BZ86" i="5"/>
  <c r="BY86" i="5"/>
  <c r="BR86" i="5"/>
  <c r="V86" i="5"/>
  <c r="BZ85" i="5"/>
  <c r="BY85" i="5"/>
  <c r="V85" i="5"/>
  <c r="BZ84" i="5"/>
  <c r="BY84" i="5"/>
  <c r="BR84" i="5"/>
  <c r="BN84" i="5"/>
  <c r="V84" i="5"/>
  <c r="BZ83" i="5"/>
  <c r="BY83" i="5"/>
  <c r="BV83" i="5"/>
  <c r="BN83" i="5"/>
  <c r="V83" i="5"/>
  <c r="BZ82" i="5"/>
  <c r="BY82" i="5"/>
  <c r="BV82" i="5"/>
  <c r="V82" i="5"/>
  <c r="BZ81" i="5"/>
  <c r="BY81" i="5"/>
  <c r="BV81" i="5"/>
  <c r="BN81" i="5"/>
  <c r="V81" i="5"/>
  <c r="BZ80" i="5"/>
  <c r="BY80" i="5"/>
  <c r="V80" i="5"/>
  <c r="BZ79" i="5"/>
  <c r="BY79" i="5"/>
  <c r="BV79" i="5"/>
  <c r="BR79" i="5"/>
  <c r="V79" i="5"/>
  <c r="BZ78" i="5"/>
  <c r="BY78" i="5"/>
  <c r="V78" i="5"/>
  <c r="BZ77" i="5"/>
  <c r="CA77" i="5" s="1"/>
  <c r="CB77" i="5" s="1"/>
  <c r="BY77" i="5"/>
  <c r="V77" i="5"/>
  <c r="BZ76" i="5"/>
  <c r="BY76" i="5"/>
  <c r="BN76" i="5"/>
  <c r="V76" i="5"/>
  <c r="BZ75" i="5"/>
  <c r="BY75" i="5"/>
  <c r="BR75" i="5"/>
  <c r="V75" i="5"/>
  <c r="BZ74" i="5"/>
  <c r="BY74" i="5"/>
  <c r="BV74" i="5"/>
  <c r="V74" i="5"/>
  <c r="BZ73" i="5"/>
  <c r="BY73" i="5"/>
  <c r="V73" i="5"/>
  <c r="BZ72" i="5"/>
  <c r="BY72" i="5"/>
  <c r="V72" i="5"/>
  <c r="BZ71" i="5"/>
  <c r="BY71" i="5"/>
  <c r="V71" i="5"/>
  <c r="BZ70" i="5"/>
  <c r="BY70" i="5"/>
  <c r="BR70" i="5"/>
  <c r="V70" i="5"/>
  <c r="BZ69" i="5"/>
  <c r="BY69" i="5"/>
  <c r="V69" i="5"/>
  <c r="BZ68" i="5"/>
  <c r="BY68" i="5"/>
  <c r="BR68" i="5"/>
  <c r="BN68" i="5"/>
  <c r="V68" i="5"/>
  <c r="BZ67" i="5"/>
  <c r="BY67" i="5"/>
  <c r="BN67" i="5"/>
  <c r="V67" i="5"/>
  <c r="BZ66" i="5"/>
  <c r="BY66" i="5"/>
  <c r="BV66" i="5"/>
  <c r="V66" i="5"/>
  <c r="BZ65" i="5"/>
  <c r="BY65" i="5"/>
  <c r="BV65" i="5"/>
  <c r="BN65" i="5"/>
  <c r="V65" i="5"/>
  <c r="BZ64" i="5"/>
  <c r="BY64" i="5"/>
  <c r="BN64" i="5"/>
  <c r="V64" i="5"/>
  <c r="BZ63" i="5"/>
  <c r="BY63" i="5"/>
  <c r="BV63" i="5"/>
  <c r="BR63" i="5"/>
  <c r="V63" i="5"/>
  <c r="BZ62" i="5"/>
  <c r="BY62" i="5"/>
  <c r="V62" i="5"/>
  <c r="BZ61" i="5"/>
  <c r="BY61" i="5"/>
  <c r="V61" i="5"/>
  <c r="BZ60" i="5"/>
  <c r="BY60" i="5"/>
  <c r="BR60" i="5"/>
  <c r="BN60" i="5"/>
  <c r="V60" i="5"/>
  <c r="BZ59" i="5"/>
  <c r="BY59" i="5"/>
  <c r="BN59" i="5"/>
  <c r="V59" i="5"/>
  <c r="BZ58" i="5"/>
  <c r="BY58" i="5"/>
  <c r="BV58" i="5"/>
  <c r="V58" i="5"/>
  <c r="BZ57" i="5"/>
  <c r="BY57" i="5"/>
  <c r="BR57" i="5"/>
  <c r="V57" i="5"/>
  <c r="BZ56" i="5"/>
  <c r="BY56" i="5"/>
  <c r="V56" i="5"/>
  <c r="BZ55" i="5"/>
  <c r="BY55" i="5"/>
  <c r="V55" i="5"/>
  <c r="BZ54" i="5"/>
  <c r="BY54" i="5"/>
  <c r="BV54" i="5"/>
  <c r="BR54" i="5"/>
  <c r="V54" i="5"/>
  <c r="BZ53" i="5"/>
  <c r="BY53" i="5"/>
  <c r="V53" i="5"/>
  <c r="BZ52" i="5"/>
  <c r="BY52" i="5"/>
  <c r="BR52" i="5"/>
  <c r="V52" i="5"/>
  <c r="BZ51" i="5"/>
  <c r="BY51" i="5"/>
  <c r="BV51" i="5"/>
  <c r="BN51" i="5"/>
  <c r="V51" i="5"/>
  <c r="BZ50" i="5"/>
  <c r="BY50" i="5"/>
  <c r="BV50" i="5"/>
  <c r="V50" i="5"/>
  <c r="BZ49" i="5"/>
  <c r="BY49" i="5"/>
  <c r="BV49" i="5"/>
  <c r="BN49" i="5"/>
  <c r="V49" i="5"/>
  <c r="BZ48" i="5"/>
  <c r="BY48" i="5"/>
  <c r="V48" i="5"/>
  <c r="BZ47" i="5"/>
  <c r="BY47" i="5"/>
  <c r="BV47" i="5"/>
  <c r="BR47" i="5"/>
  <c r="V47" i="5"/>
  <c r="BZ46" i="5"/>
  <c r="BY46" i="5"/>
  <c r="V46" i="5"/>
  <c r="BZ45" i="5"/>
  <c r="BY45" i="5"/>
  <c r="V45" i="5"/>
  <c r="BZ44" i="5"/>
  <c r="BY44" i="5"/>
  <c r="BR44" i="5"/>
  <c r="BN44" i="5"/>
  <c r="V44" i="5"/>
  <c r="BZ43" i="5"/>
  <c r="BY43" i="5"/>
  <c r="V43" i="5"/>
  <c r="BZ42" i="5"/>
  <c r="BY42" i="5"/>
  <c r="BV42" i="5"/>
  <c r="V42" i="5"/>
  <c r="BZ41" i="5"/>
  <c r="BY41" i="5"/>
  <c r="BR41" i="5"/>
  <c r="BN41" i="5"/>
  <c r="V41" i="5"/>
  <c r="BZ40" i="5"/>
  <c r="BY40" i="5"/>
  <c r="BV40" i="5"/>
  <c r="V40" i="5"/>
  <c r="BZ39" i="5"/>
  <c r="BY39" i="5"/>
  <c r="BV39" i="5"/>
  <c r="V39" i="5"/>
  <c r="BZ38" i="5"/>
  <c r="BY38" i="5"/>
  <c r="BR38" i="5"/>
  <c r="BN38" i="5"/>
  <c r="V38" i="5"/>
  <c r="BZ37" i="5"/>
  <c r="BY37" i="5"/>
  <c r="BR37" i="5"/>
  <c r="V37" i="5"/>
  <c r="BZ36" i="5"/>
  <c r="BY36" i="5"/>
  <c r="BR36" i="5"/>
  <c r="V36" i="5"/>
  <c r="BZ35" i="5"/>
  <c r="BY35" i="5"/>
  <c r="BN35" i="5"/>
  <c r="V35" i="5"/>
  <c r="BZ34" i="5"/>
  <c r="BY34" i="5"/>
  <c r="V34" i="5"/>
  <c r="BZ33" i="5"/>
  <c r="BY33" i="5"/>
  <c r="BV33" i="5"/>
  <c r="BN33" i="5"/>
  <c r="V33" i="5"/>
  <c r="BZ32" i="5"/>
  <c r="BY32" i="5"/>
  <c r="BN32" i="5"/>
  <c r="V32" i="5"/>
  <c r="BZ31" i="5"/>
  <c r="BY31" i="5"/>
  <c r="BV31" i="5"/>
  <c r="BR31" i="5"/>
  <c r="V31" i="5"/>
  <c r="BZ30" i="5"/>
  <c r="BY30" i="5"/>
  <c r="V30" i="5"/>
  <c r="BZ29" i="5"/>
  <c r="BY29" i="5"/>
  <c r="BR29" i="5"/>
  <c r="V29" i="5"/>
  <c r="BZ28" i="5"/>
  <c r="BY28" i="5"/>
  <c r="BR28" i="5"/>
  <c r="BN28" i="5"/>
  <c r="V28" i="5"/>
  <c r="BZ27" i="5"/>
  <c r="BY27" i="5"/>
  <c r="BN27" i="5"/>
  <c r="V27" i="5"/>
  <c r="BZ26" i="5"/>
  <c r="BY26" i="5"/>
  <c r="BV26" i="5"/>
  <c r="V26" i="5"/>
  <c r="BZ25" i="5"/>
  <c r="BY25" i="5"/>
  <c r="BN25" i="5"/>
  <c r="V25" i="5"/>
  <c r="BZ24" i="5"/>
  <c r="BY24" i="5"/>
  <c r="V24" i="5"/>
  <c r="BZ23" i="5"/>
  <c r="BY23" i="5"/>
  <c r="BV23" i="5"/>
  <c r="V23" i="5"/>
  <c r="BZ22" i="5"/>
  <c r="BY22" i="5"/>
  <c r="BV22" i="5"/>
  <c r="BR22" i="5"/>
  <c r="V22" i="5"/>
  <c r="BZ21" i="5"/>
  <c r="BY21" i="5"/>
  <c r="V21" i="5"/>
  <c r="BZ20" i="5"/>
  <c r="BY20" i="5"/>
  <c r="BR20" i="5"/>
  <c r="BN20" i="5"/>
  <c r="V20" i="5"/>
  <c r="BZ19" i="5"/>
  <c r="BY19" i="5"/>
  <c r="BN19" i="5"/>
  <c r="V19" i="5"/>
  <c r="BZ18" i="5"/>
  <c r="BY18" i="5"/>
  <c r="BV18" i="5"/>
  <c r="BR18" i="5"/>
  <c r="V18" i="5"/>
  <c r="BZ17" i="5"/>
  <c r="BY17" i="5"/>
  <c r="BN17" i="5"/>
  <c r="V17" i="5"/>
  <c r="BZ16" i="5"/>
  <c r="BY16" i="5"/>
  <c r="V16" i="5"/>
  <c r="BZ15" i="5"/>
  <c r="BY15" i="5"/>
  <c r="BR15" i="5"/>
  <c r="V15" i="5"/>
  <c r="BZ14" i="5"/>
  <c r="BY14" i="5"/>
  <c r="BR14" i="5"/>
  <c r="V14" i="5"/>
  <c r="BZ13" i="5"/>
  <c r="BY13" i="5"/>
  <c r="BV13" i="5"/>
  <c r="BR13" i="5"/>
  <c r="V13" i="5"/>
  <c r="BZ12" i="5"/>
  <c r="BY12" i="5"/>
  <c r="BV12" i="5"/>
  <c r="BR12" i="5"/>
  <c r="V12" i="5"/>
  <c r="BZ11" i="5"/>
  <c r="BY11" i="5"/>
  <c r="BR11" i="5"/>
  <c r="BN11" i="5"/>
  <c r="V11" i="5"/>
  <c r="BZ10" i="5"/>
  <c r="BY10" i="5"/>
  <c r="CA10" i="5" s="1"/>
  <c r="BR10" i="5"/>
  <c r="BV10" i="5"/>
  <c r="V10" i="5"/>
  <c r="BZ9" i="5"/>
  <c r="BY9" i="5"/>
  <c r="BM9" i="5"/>
  <c r="BR9" i="5"/>
  <c r="BN9" i="5"/>
  <c r="V9" i="5"/>
  <c r="BZ8" i="5"/>
  <c r="BY8" i="5"/>
  <c r="BV8" i="5"/>
  <c r="V8" i="5"/>
  <c r="BY7" i="5"/>
  <c r="BU121" i="5"/>
  <c r="BQ103" i="5"/>
  <c r="BM54" i="5"/>
  <c r="V6" i="5"/>
  <c r="D12" i="4"/>
  <c r="D11" i="4"/>
  <c r="D10" i="4"/>
  <c r="D9" i="4"/>
  <c r="D8" i="4"/>
  <c r="D25" i="3"/>
  <c r="A29" i="2"/>
  <c r="B28" i="2"/>
  <c r="F25" i="2"/>
  <c r="C3" i="2"/>
  <c r="B3" i="2"/>
  <c r="U26" i="1"/>
  <c r="L14" i="1"/>
  <c r="L13" i="1"/>
  <c r="L10" i="1"/>
  <c r="L7" i="1"/>
  <c r="H33" i="10" l="1"/>
  <c r="F31" i="2" s="1"/>
  <c r="F32" i="2" s="1"/>
  <c r="G33" i="10"/>
  <c r="E31" i="2" s="1"/>
  <c r="E32" i="2" s="1"/>
  <c r="F33" i="10"/>
  <c r="D31" i="2" s="1"/>
  <c r="D32" i="2" s="1"/>
  <c r="E33" i="10"/>
  <c r="C31" i="2" s="1"/>
  <c r="C32" i="2" s="1"/>
  <c r="D33" i="10"/>
  <c r="B31" i="2" s="1"/>
  <c r="B32" i="2" s="1"/>
  <c r="D3" i="7"/>
  <c r="B61" i="7" s="1"/>
  <c r="C4" i="9"/>
  <c r="BK87" i="5"/>
  <c r="BL87" i="5" s="1"/>
  <c r="BK210" i="5"/>
  <c r="BL210" i="5" s="1"/>
  <c r="BK175" i="5"/>
  <c r="BL175" i="5" s="1"/>
  <c r="BK167" i="5"/>
  <c r="BL167" i="5" s="1"/>
  <c r="BK207" i="5"/>
  <c r="BL207" i="5" s="1"/>
  <c r="BI34" i="5"/>
  <c r="BI32" i="5"/>
  <c r="BK33" i="5" s="1"/>
  <c r="BI37" i="5"/>
  <c r="BK38" i="5" s="1"/>
  <c r="BL38" i="5" s="1"/>
  <c r="BK195" i="5"/>
  <c r="BL195" i="5" s="1"/>
  <c r="BI35" i="5"/>
  <c r="BI24" i="5"/>
  <c r="BI8" i="5"/>
  <c r="BK9" i="5" s="1"/>
  <c r="BI27" i="5"/>
  <c r="BI19" i="5"/>
  <c r="BK214" i="5"/>
  <c r="BL214" i="5" s="1"/>
  <c r="BK187" i="5"/>
  <c r="BL187" i="5" s="1"/>
  <c r="BK184" i="5"/>
  <c r="BL184" i="5" s="1"/>
  <c r="BK165" i="5"/>
  <c r="BL165" i="5" s="1"/>
  <c r="BK157" i="5"/>
  <c r="BL157" i="5" s="1"/>
  <c r="BK149" i="5"/>
  <c r="BL149" i="5" s="1"/>
  <c r="BK198" i="5"/>
  <c r="BL198" i="5" s="1"/>
  <c r="BK190" i="5"/>
  <c r="BL190" i="5" s="1"/>
  <c r="BK204" i="5"/>
  <c r="BL204" i="5" s="1"/>
  <c r="BK28" i="5"/>
  <c r="BK47" i="5"/>
  <c r="BL47" i="5" s="1"/>
  <c r="CA61" i="5"/>
  <c r="CB61" i="5" s="1"/>
  <c r="BK95" i="5"/>
  <c r="BL95" i="5" s="1"/>
  <c r="BK46" i="5"/>
  <c r="BL46" i="5" s="1"/>
  <c r="BK30" i="5"/>
  <c r="BK196" i="5"/>
  <c r="BL196" i="5" s="1"/>
  <c r="BK219" i="5"/>
  <c r="BL219" i="5" s="1"/>
  <c r="BK202" i="5"/>
  <c r="BL202" i="5" s="1"/>
  <c r="BK169" i="5"/>
  <c r="BL169" i="5" s="1"/>
  <c r="BK161" i="5"/>
  <c r="BL161" i="5" s="1"/>
  <c r="BK153" i="5"/>
  <c r="BL153" i="5" s="1"/>
  <c r="BK145" i="5"/>
  <c r="BL145" i="5" s="1"/>
  <c r="CA85" i="5"/>
  <c r="CB85" i="5" s="1"/>
  <c r="BK180" i="5"/>
  <c r="BL180" i="5" s="1"/>
  <c r="BK172" i="5"/>
  <c r="BL172" i="5" s="1"/>
  <c r="CA81" i="5"/>
  <c r="CB81" i="5" s="1"/>
  <c r="BK208" i="5"/>
  <c r="BL208" i="5" s="1"/>
  <c r="BK199" i="5"/>
  <c r="BL199" i="5" s="1"/>
  <c r="BI110" i="5"/>
  <c r="BI102" i="5"/>
  <c r="BI94" i="5"/>
  <c r="BK97" i="5" s="1"/>
  <c r="BL97" i="5" s="1"/>
  <c r="BI86" i="5"/>
  <c r="BK89" i="5" s="1"/>
  <c r="BL89" i="5" s="1"/>
  <c r="BI78" i="5"/>
  <c r="BK81" i="5" s="1"/>
  <c r="BL81" i="5" s="1"/>
  <c r="BI70" i="5"/>
  <c r="BI62" i="5"/>
  <c r="BK65" i="5" s="1"/>
  <c r="BL65" i="5" s="1"/>
  <c r="BI54" i="5"/>
  <c r="BI46" i="5"/>
  <c r="BI38" i="5"/>
  <c r="BI30" i="5"/>
  <c r="BK31" i="5" s="1"/>
  <c r="BI22" i="5"/>
  <c r="BK191" i="5"/>
  <c r="BL191" i="5" s="1"/>
  <c r="BK168" i="5"/>
  <c r="BL168" i="5" s="1"/>
  <c r="BK141" i="5"/>
  <c r="BL141" i="5" s="1"/>
  <c r="BK133" i="5"/>
  <c r="BL133" i="5" s="1"/>
  <c r="BK125" i="5"/>
  <c r="BL125" i="5" s="1"/>
  <c r="BK117" i="5"/>
  <c r="BL117" i="5" s="1"/>
  <c r="BK109" i="5"/>
  <c r="BL109" i="5" s="1"/>
  <c r="BK101" i="5"/>
  <c r="BL101" i="5" s="1"/>
  <c r="BK93" i="5"/>
  <c r="BL93" i="5" s="1"/>
  <c r="BK85" i="5"/>
  <c r="BL85" i="5" s="1"/>
  <c r="BK77" i="5"/>
  <c r="BL77" i="5" s="1"/>
  <c r="BK69" i="5"/>
  <c r="BL69" i="5" s="1"/>
  <c r="BI65" i="5"/>
  <c r="BK68" i="5" s="1"/>
  <c r="BL68" i="5" s="1"/>
  <c r="BK61" i="5"/>
  <c r="BL61" i="5" s="1"/>
  <c r="BI57" i="5"/>
  <c r="BK60" i="5" s="1"/>
  <c r="BL60" i="5" s="1"/>
  <c r="BK53" i="5"/>
  <c r="BL53" i="5" s="1"/>
  <c r="BI49" i="5"/>
  <c r="BK52" i="5" s="1"/>
  <c r="BL52" i="5" s="1"/>
  <c r="BI41" i="5"/>
  <c r="BK45" i="5" s="1"/>
  <c r="BL45" i="5" s="1"/>
  <c r="BI33" i="5"/>
  <c r="BK37" i="5" s="1"/>
  <c r="BL37" i="5" s="1"/>
  <c r="BI25" i="5"/>
  <c r="BK26" i="5" s="1"/>
  <c r="CA117" i="5"/>
  <c r="CB117" i="5" s="1"/>
  <c r="BK215" i="5"/>
  <c r="BL215" i="5" s="1"/>
  <c r="BK212" i="5"/>
  <c r="BL212" i="5" s="1"/>
  <c r="BK194" i="5"/>
  <c r="BL194" i="5" s="1"/>
  <c r="BK179" i="5"/>
  <c r="BL179" i="5" s="1"/>
  <c r="BK171" i="5"/>
  <c r="BL171" i="5" s="1"/>
  <c r="BK160" i="5"/>
  <c r="BL160" i="5" s="1"/>
  <c r="BK152" i="5"/>
  <c r="BL152" i="5" s="1"/>
  <c r="BK144" i="5"/>
  <c r="BL144" i="5" s="1"/>
  <c r="BK136" i="5"/>
  <c r="BL136" i="5" s="1"/>
  <c r="BK128" i="5"/>
  <c r="BL128" i="5" s="1"/>
  <c r="BK120" i="5"/>
  <c r="BL120" i="5" s="1"/>
  <c r="BK112" i="5"/>
  <c r="BL112" i="5" s="1"/>
  <c r="BK104" i="5"/>
  <c r="BL104" i="5" s="1"/>
  <c r="BK96" i="5"/>
  <c r="BL96" i="5" s="1"/>
  <c r="BK88" i="5"/>
  <c r="BL88" i="5" s="1"/>
  <c r="BK80" i="5"/>
  <c r="BL80" i="5" s="1"/>
  <c r="BI76" i="5"/>
  <c r="BK79" i="5" s="1"/>
  <c r="BL79" i="5" s="1"/>
  <c r="BK72" i="5"/>
  <c r="BL72" i="5" s="1"/>
  <c r="BI68" i="5"/>
  <c r="BK71" i="5" s="1"/>
  <c r="BL71" i="5" s="1"/>
  <c r="BK64" i="5"/>
  <c r="BL64" i="5" s="1"/>
  <c r="BI60" i="5"/>
  <c r="BK63" i="5" s="1"/>
  <c r="BL63" i="5" s="1"/>
  <c r="BK56" i="5"/>
  <c r="BL56" i="5" s="1"/>
  <c r="BI52" i="5"/>
  <c r="BK55" i="5" s="1"/>
  <c r="BL55" i="5" s="1"/>
  <c r="BK48" i="5"/>
  <c r="BL48" i="5" s="1"/>
  <c r="BI44" i="5"/>
  <c r="BK40" i="5"/>
  <c r="BL40" i="5" s="1"/>
  <c r="BI36" i="5"/>
  <c r="BI28" i="5"/>
  <c r="BK29" i="5" s="1"/>
  <c r="BI16" i="5"/>
  <c r="BK17" i="5" s="1"/>
  <c r="CA140" i="5"/>
  <c r="CB140" i="5" s="1"/>
  <c r="CA199" i="5"/>
  <c r="CB199" i="5" s="1"/>
  <c r="BK218" i="5"/>
  <c r="BL218" i="5" s="1"/>
  <c r="BK211" i="5"/>
  <c r="BL211" i="5" s="1"/>
  <c r="BK174" i="5"/>
  <c r="BL174" i="5" s="1"/>
  <c r="BK163" i="5"/>
  <c r="BL163" i="5" s="1"/>
  <c r="BK155" i="5"/>
  <c r="BL155" i="5" s="1"/>
  <c r="BK147" i="5"/>
  <c r="BL147" i="5" s="1"/>
  <c r="BK139" i="5"/>
  <c r="BL139" i="5" s="1"/>
  <c r="BK131" i="5"/>
  <c r="BL131" i="5" s="1"/>
  <c r="BK123" i="5"/>
  <c r="BL123" i="5" s="1"/>
  <c r="BK115" i="5"/>
  <c r="BL115" i="5" s="1"/>
  <c r="BI111" i="5"/>
  <c r="BK107" i="5"/>
  <c r="BL107" i="5" s="1"/>
  <c r="BI103" i="5"/>
  <c r="BK106" i="5" s="1"/>
  <c r="BL106" i="5" s="1"/>
  <c r="BK99" i="5"/>
  <c r="BL99" i="5" s="1"/>
  <c r="BI95" i="5"/>
  <c r="BK98" i="5" s="1"/>
  <c r="BL98" i="5" s="1"/>
  <c r="BK91" i="5"/>
  <c r="BL91" i="5" s="1"/>
  <c r="BI87" i="5"/>
  <c r="BK90" i="5" s="1"/>
  <c r="BL90" i="5" s="1"/>
  <c r="BK83" i="5"/>
  <c r="BL83" i="5" s="1"/>
  <c r="BI79" i="5"/>
  <c r="BK82" i="5" s="1"/>
  <c r="BL82" i="5" s="1"/>
  <c r="BK75" i="5"/>
  <c r="BL75" i="5" s="1"/>
  <c r="BI71" i="5"/>
  <c r="BK74" i="5" s="1"/>
  <c r="BL74" i="5" s="1"/>
  <c r="BK67" i="5"/>
  <c r="BL67" i="5" s="1"/>
  <c r="BI63" i="5"/>
  <c r="BK66" i="5" s="1"/>
  <c r="BL66" i="5" s="1"/>
  <c r="BK59" i="5"/>
  <c r="BL59" i="5" s="1"/>
  <c r="BI55" i="5"/>
  <c r="BK58" i="5" s="1"/>
  <c r="BL58" i="5" s="1"/>
  <c r="BK51" i="5"/>
  <c r="BL51" i="5" s="1"/>
  <c r="BI47" i="5"/>
  <c r="BK50" i="5" s="1"/>
  <c r="BL50" i="5" s="1"/>
  <c r="BI39" i="5"/>
  <c r="BI31" i="5"/>
  <c r="BK32" i="5" s="1"/>
  <c r="BK27" i="5"/>
  <c r="BI23" i="5"/>
  <c r="BK24" i="5" s="1"/>
  <c r="BI14" i="5"/>
  <c r="BK15" i="5" s="1"/>
  <c r="CA41" i="5"/>
  <c r="CB41" i="5" s="1"/>
  <c r="BK192" i="5"/>
  <c r="BL192" i="5" s="1"/>
  <c r="BK186" i="5"/>
  <c r="BL186" i="5" s="1"/>
  <c r="BK177" i="5"/>
  <c r="BL177" i="5" s="1"/>
  <c r="BK166" i="5"/>
  <c r="BL166" i="5" s="1"/>
  <c r="BK158" i="5"/>
  <c r="BL158" i="5" s="1"/>
  <c r="BK150" i="5"/>
  <c r="BL150" i="5" s="1"/>
  <c r="BK142" i="5"/>
  <c r="BL142" i="5" s="1"/>
  <c r="BK134" i="5"/>
  <c r="BL134" i="5" s="1"/>
  <c r="BK126" i="5"/>
  <c r="BL126" i="5" s="1"/>
  <c r="BK118" i="5"/>
  <c r="BL118" i="5" s="1"/>
  <c r="BK110" i="5"/>
  <c r="BL110" i="5" s="1"/>
  <c r="BK102" i="5"/>
  <c r="BL102" i="5" s="1"/>
  <c r="BK94" i="5"/>
  <c r="BL94" i="5" s="1"/>
  <c r="BK86" i="5"/>
  <c r="BL86" i="5" s="1"/>
  <c r="CA134" i="5"/>
  <c r="CB134" i="5" s="1"/>
  <c r="CA23" i="5"/>
  <c r="CA47" i="5"/>
  <c r="CB47" i="5" s="1"/>
  <c r="CA50" i="5"/>
  <c r="CB50" i="5" s="1"/>
  <c r="CA157" i="5"/>
  <c r="CB157" i="5" s="1"/>
  <c r="CA166" i="5"/>
  <c r="CB166" i="5" s="1"/>
  <c r="BK220" i="5"/>
  <c r="BL220" i="5" s="1"/>
  <c r="BK170" i="5"/>
  <c r="BL170" i="5" s="1"/>
  <c r="BI11" i="5"/>
  <c r="BK12" i="5" s="1"/>
  <c r="BK217" i="5"/>
  <c r="BL217" i="5" s="1"/>
  <c r="BK200" i="5"/>
  <c r="BL200" i="5" s="1"/>
  <c r="BK176" i="5"/>
  <c r="BL176" i="5" s="1"/>
  <c r="BK173" i="5"/>
  <c r="BL173" i="5" s="1"/>
  <c r="BK162" i="5"/>
  <c r="BL162" i="5" s="1"/>
  <c r="BK154" i="5"/>
  <c r="BL154" i="5" s="1"/>
  <c r="BK146" i="5"/>
  <c r="BL146" i="5" s="1"/>
  <c r="BK138" i="5"/>
  <c r="BL138" i="5" s="1"/>
  <c r="BK130" i="5"/>
  <c r="BL130" i="5" s="1"/>
  <c r="BK122" i="5"/>
  <c r="BL122" i="5" s="1"/>
  <c r="BK114" i="5"/>
  <c r="BL114" i="5" s="1"/>
  <c r="CA179" i="5"/>
  <c r="CB179" i="5" s="1"/>
  <c r="BI17" i="5"/>
  <c r="BK18" i="5" s="1"/>
  <c r="BI9" i="5"/>
  <c r="BK10" i="5" s="1"/>
  <c r="BK206" i="5"/>
  <c r="BL206" i="5" s="1"/>
  <c r="BK203" i="5"/>
  <c r="BL203" i="5" s="1"/>
  <c r="BI20" i="5"/>
  <c r="BK21" i="5" s="1"/>
  <c r="BI12" i="5"/>
  <c r="BK13" i="5" s="1"/>
  <c r="BK8" i="5"/>
  <c r="BI15" i="5"/>
  <c r="BK16" i="5" s="1"/>
  <c r="CA39" i="5"/>
  <c r="CB39" i="5" s="1"/>
  <c r="CA149" i="5"/>
  <c r="CB149" i="5" s="1"/>
  <c r="CA164" i="5"/>
  <c r="CB164" i="5" s="1"/>
  <c r="BK205" i="5"/>
  <c r="BL205" i="5" s="1"/>
  <c r="BK78" i="5"/>
  <c r="BL78" i="5" s="1"/>
  <c r="BK54" i="5"/>
  <c r="BL54" i="5" s="1"/>
  <c r="BI18" i="5"/>
  <c r="BK19" i="5" s="1"/>
  <c r="BI10" i="5"/>
  <c r="BK11" i="5" s="1"/>
  <c r="CA109" i="5"/>
  <c r="CB109" i="5" s="1"/>
  <c r="CA118" i="5"/>
  <c r="CB118" i="5" s="1"/>
  <c r="BK216" i="5"/>
  <c r="BL216" i="5" s="1"/>
  <c r="BK188" i="5"/>
  <c r="BL188" i="5" s="1"/>
  <c r="BK137" i="5"/>
  <c r="BL137" i="5" s="1"/>
  <c r="BK129" i="5"/>
  <c r="BL129" i="5" s="1"/>
  <c r="BK121" i="5"/>
  <c r="BL121" i="5" s="1"/>
  <c r="BK113" i="5"/>
  <c r="BL113" i="5" s="1"/>
  <c r="BK105" i="5"/>
  <c r="BL105" i="5" s="1"/>
  <c r="BK25" i="5"/>
  <c r="BI21" i="5"/>
  <c r="BK22" i="5" s="1"/>
  <c r="BI13" i="5"/>
  <c r="BK14" i="5" s="1"/>
  <c r="CA15" i="5"/>
  <c r="CA22" i="5"/>
  <c r="CA51" i="5"/>
  <c r="CB51" i="5" s="1"/>
  <c r="CA65" i="5"/>
  <c r="CB65" i="5" s="1"/>
  <c r="CA72" i="5"/>
  <c r="CB72" i="5" s="1"/>
  <c r="CA83" i="5"/>
  <c r="CB83" i="5" s="1"/>
  <c r="CA119" i="5"/>
  <c r="CB119" i="5" s="1"/>
  <c r="CA123" i="5"/>
  <c r="CB123" i="5" s="1"/>
  <c r="CA127" i="5"/>
  <c r="CB127" i="5" s="1"/>
  <c r="CA139" i="5"/>
  <c r="CB139" i="5" s="1"/>
  <c r="CA147" i="5"/>
  <c r="CB147" i="5" s="1"/>
  <c r="CA163" i="5"/>
  <c r="CB163" i="5" s="1"/>
  <c r="CA181" i="5"/>
  <c r="CB181" i="5" s="1"/>
  <c r="CA217" i="5"/>
  <c r="CB217" i="5" s="1"/>
  <c r="CA122" i="5"/>
  <c r="CB122" i="5" s="1"/>
  <c r="CA14" i="5"/>
  <c r="CA46" i="5"/>
  <c r="CB46" i="5" s="1"/>
  <c r="CA101" i="5"/>
  <c r="CB101" i="5" s="1"/>
  <c r="CA150" i="5"/>
  <c r="CB150" i="5" s="1"/>
  <c r="CA200" i="5"/>
  <c r="CB200" i="5" s="1"/>
  <c r="BK178" i="5"/>
  <c r="BL178" i="5" s="1"/>
  <c r="BK70" i="5"/>
  <c r="BL70" i="5" s="1"/>
  <c r="BK62" i="5"/>
  <c r="BL62" i="5" s="1"/>
  <c r="BK164" i="5"/>
  <c r="BL164" i="5" s="1"/>
  <c r="BK156" i="5"/>
  <c r="BL156" i="5" s="1"/>
  <c r="BK148" i="5"/>
  <c r="BL148" i="5" s="1"/>
  <c r="BK140" i="5"/>
  <c r="BL140" i="5" s="1"/>
  <c r="BK132" i="5"/>
  <c r="BL132" i="5" s="1"/>
  <c r="BK124" i="5"/>
  <c r="BL124" i="5" s="1"/>
  <c r="BK116" i="5"/>
  <c r="BL116" i="5" s="1"/>
  <c r="BK108" i="5"/>
  <c r="BL108" i="5" s="1"/>
  <c r="BK100" i="5"/>
  <c r="BL100" i="5" s="1"/>
  <c r="BK73" i="5"/>
  <c r="BL73" i="5" s="1"/>
  <c r="BK57" i="5"/>
  <c r="BL57" i="5" s="1"/>
  <c r="BK49" i="5"/>
  <c r="BL49" i="5" s="1"/>
  <c r="CA24" i="5"/>
  <c r="CA35" i="5"/>
  <c r="CB35" i="5" s="1"/>
  <c r="CA56" i="5"/>
  <c r="CB56" i="5" s="1"/>
  <c r="CA92" i="5"/>
  <c r="CB92" i="5" s="1"/>
  <c r="CA121" i="5"/>
  <c r="CB121" i="5" s="1"/>
  <c r="CA133" i="5"/>
  <c r="CB133" i="5" s="1"/>
  <c r="CA191" i="5"/>
  <c r="CB191" i="5" s="1"/>
  <c r="BK221" i="5"/>
  <c r="BL221" i="5" s="1"/>
  <c r="BK213" i="5"/>
  <c r="BL213" i="5" s="1"/>
  <c r="BK209" i="5"/>
  <c r="BL209" i="5" s="1"/>
  <c r="BK201" i="5"/>
  <c r="BL201" i="5" s="1"/>
  <c r="BK197" i="5"/>
  <c r="BL197" i="5" s="1"/>
  <c r="BK193" i="5"/>
  <c r="BL193" i="5" s="1"/>
  <c r="BK189" i="5"/>
  <c r="BL189" i="5" s="1"/>
  <c r="BK185" i="5"/>
  <c r="BL185" i="5" s="1"/>
  <c r="BK181" i="5"/>
  <c r="BL181" i="5" s="1"/>
  <c r="BK159" i="5"/>
  <c r="BL159" i="5" s="1"/>
  <c r="BK151" i="5"/>
  <c r="BL151" i="5" s="1"/>
  <c r="BK143" i="5"/>
  <c r="BL143" i="5" s="1"/>
  <c r="BK135" i="5"/>
  <c r="BL135" i="5" s="1"/>
  <c r="BK127" i="5"/>
  <c r="BL127" i="5" s="1"/>
  <c r="BK119" i="5"/>
  <c r="BL119" i="5" s="1"/>
  <c r="BK111" i="5"/>
  <c r="BL111" i="5" s="1"/>
  <c r="BK103" i="5"/>
  <c r="BL103" i="5" s="1"/>
  <c r="BK92" i="5"/>
  <c r="BL92" i="5" s="1"/>
  <c r="BK84" i="5"/>
  <c r="BL84" i="5" s="1"/>
  <c r="BK76" i="5"/>
  <c r="BL76" i="5" s="1"/>
  <c r="BK20" i="5"/>
  <c r="CA8" i="5"/>
  <c r="CA95" i="5"/>
  <c r="CB95" i="5" s="1"/>
  <c r="CA111" i="5"/>
  <c r="CB111" i="5" s="1"/>
  <c r="CA186" i="5"/>
  <c r="CB186" i="5" s="1"/>
  <c r="CA194" i="5"/>
  <c r="CB194" i="5" s="1"/>
  <c r="CA202" i="5"/>
  <c r="CB202" i="5" s="1"/>
  <c r="CA219" i="5"/>
  <c r="CB219" i="5" s="1"/>
  <c r="BK23" i="5"/>
  <c r="CA34" i="5"/>
  <c r="CA69" i="5"/>
  <c r="CB69" i="5" s="1"/>
  <c r="CA70" i="5"/>
  <c r="CB70" i="5" s="1"/>
  <c r="CA100" i="5"/>
  <c r="CB100" i="5" s="1"/>
  <c r="CA135" i="5"/>
  <c r="CB135" i="5" s="1"/>
  <c r="CA167" i="5"/>
  <c r="CB167" i="5" s="1"/>
  <c r="CA187" i="5"/>
  <c r="CB187" i="5" s="1"/>
  <c r="CA12" i="5"/>
  <c r="CA44" i="5"/>
  <c r="CB44" i="5" s="1"/>
  <c r="CA68" i="5"/>
  <c r="CB68" i="5" s="1"/>
  <c r="CA31" i="5"/>
  <c r="CA108" i="5"/>
  <c r="CB108" i="5" s="1"/>
  <c r="CA165" i="5"/>
  <c r="CB165" i="5" s="1"/>
  <c r="CA172" i="5"/>
  <c r="CB172" i="5" s="1"/>
  <c r="CA184" i="5"/>
  <c r="CB184" i="5" s="1"/>
  <c r="CA209" i="5"/>
  <c r="CB209" i="5" s="1"/>
  <c r="CA102" i="5"/>
  <c r="CB102" i="5" s="1"/>
  <c r="CA155" i="5"/>
  <c r="CB155" i="5" s="1"/>
  <c r="CA17" i="5"/>
  <c r="CA40" i="5"/>
  <c r="CB40" i="5" s="1"/>
  <c r="CA64" i="5"/>
  <c r="CB64" i="5" s="1"/>
  <c r="CA207" i="5"/>
  <c r="CB207" i="5" s="1"/>
  <c r="CA137" i="5"/>
  <c r="CB137" i="5" s="1"/>
  <c r="CA16" i="5"/>
  <c r="BM25" i="5"/>
  <c r="BO25" i="5" s="1"/>
  <c r="CA29" i="5"/>
  <c r="CA63" i="5"/>
  <c r="CB63" i="5" s="1"/>
  <c r="CA82" i="5"/>
  <c r="CB82" i="5" s="1"/>
  <c r="CA120" i="5"/>
  <c r="CB120" i="5" s="1"/>
  <c r="CA25" i="5"/>
  <c r="CA26" i="5"/>
  <c r="CA27" i="5"/>
  <c r="CA148" i="5"/>
  <c r="CB148" i="5" s="1"/>
  <c r="CA203" i="5"/>
  <c r="CB203" i="5" s="1"/>
  <c r="CA216" i="5"/>
  <c r="CB216" i="5" s="1"/>
  <c r="CA112" i="5"/>
  <c r="CB112" i="5" s="1"/>
  <c r="CA195" i="5"/>
  <c r="CB195" i="5" s="1"/>
  <c r="CA30" i="5"/>
  <c r="CA52" i="5"/>
  <c r="CB52" i="5" s="1"/>
  <c r="CA55" i="5"/>
  <c r="CB55" i="5" s="1"/>
  <c r="CA58" i="5"/>
  <c r="CB58" i="5" s="1"/>
  <c r="CA79" i="5"/>
  <c r="CB79" i="5" s="1"/>
  <c r="CA93" i="5"/>
  <c r="CB93" i="5" s="1"/>
  <c r="CA114" i="5"/>
  <c r="CB114" i="5" s="1"/>
  <c r="CA129" i="5"/>
  <c r="CB129" i="5" s="1"/>
  <c r="CA153" i="5"/>
  <c r="CB153" i="5" s="1"/>
  <c r="CA158" i="5"/>
  <c r="CB158" i="5" s="1"/>
  <c r="CA159" i="5"/>
  <c r="CB159" i="5" s="1"/>
  <c r="CA175" i="5"/>
  <c r="CB175" i="5" s="1"/>
  <c r="CA176" i="5"/>
  <c r="CB176" i="5" s="1"/>
  <c r="CA192" i="5"/>
  <c r="CB192" i="5" s="1"/>
  <c r="CA196" i="5"/>
  <c r="CB196" i="5" s="1"/>
  <c r="CA213" i="5"/>
  <c r="CB213" i="5" s="1"/>
  <c r="CA142" i="5"/>
  <c r="CB142" i="5" s="1"/>
  <c r="CA146" i="5"/>
  <c r="CB146" i="5" s="1"/>
  <c r="CA152" i="5"/>
  <c r="CB152" i="5" s="1"/>
  <c r="CA11" i="5"/>
  <c r="CA33" i="5"/>
  <c r="CA43" i="5"/>
  <c r="CB43" i="5" s="1"/>
  <c r="CA48" i="5"/>
  <c r="CB48" i="5" s="1"/>
  <c r="CA115" i="5"/>
  <c r="CB115" i="5" s="1"/>
  <c r="CA42" i="5"/>
  <c r="CB42" i="5" s="1"/>
  <c r="CA45" i="5"/>
  <c r="CB45" i="5" s="1"/>
  <c r="CA76" i="5"/>
  <c r="CB76" i="5" s="1"/>
  <c r="CA90" i="5"/>
  <c r="CB90" i="5" s="1"/>
  <c r="CA107" i="5"/>
  <c r="CB107" i="5" s="1"/>
  <c r="CA125" i="5"/>
  <c r="CB125" i="5" s="1"/>
  <c r="CA126" i="5"/>
  <c r="CB126" i="5" s="1"/>
  <c r="CA141" i="5"/>
  <c r="CB141" i="5" s="1"/>
  <c r="CA189" i="5"/>
  <c r="CB189" i="5" s="1"/>
  <c r="CA36" i="5"/>
  <c r="CB36" i="5" s="1"/>
  <c r="CA67" i="5"/>
  <c r="CB67" i="5" s="1"/>
  <c r="CA161" i="5"/>
  <c r="CB161" i="5" s="1"/>
  <c r="CA18" i="5"/>
  <c r="CA19" i="5"/>
  <c r="CA20" i="5"/>
  <c r="CA73" i="5"/>
  <c r="CB73" i="5" s="1"/>
  <c r="CA84" i="5"/>
  <c r="CB84" i="5" s="1"/>
  <c r="CA86" i="5"/>
  <c r="CB86" i="5" s="1"/>
  <c r="CA106" i="5"/>
  <c r="CB106" i="5" s="1"/>
  <c r="CA221" i="5"/>
  <c r="CB221" i="5" s="1"/>
  <c r="CA66" i="5"/>
  <c r="CB66" i="5" s="1"/>
  <c r="CA13" i="5"/>
  <c r="CA60" i="5"/>
  <c r="CB60" i="5" s="1"/>
  <c r="CA131" i="5"/>
  <c r="CB131" i="5" s="1"/>
  <c r="CA162" i="5"/>
  <c r="CB162" i="5" s="1"/>
  <c r="CA211" i="5"/>
  <c r="CB211" i="5" s="1"/>
  <c r="CA214" i="5"/>
  <c r="CB214" i="5" s="1"/>
  <c r="CA215" i="5"/>
  <c r="CB215" i="5" s="1"/>
  <c r="CA71" i="5"/>
  <c r="CB71" i="5" s="1"/>
  <c r="CA87" i="5"/>
  <c r="CB87" i="5" s="1"/>
  <c r="CA103" i="5"/>
  <c r="CB103" i="5" s="1"/>
  <c r="CA110" i="5"/>
  <c r="CB110" i="5" s="1"/>
  <c r="CA113" i="5"/>
  <c r="CB113" i="5" s="1"/>
  <c r="CA124" i="5"/>
  <c r="CB124" i="5" s="1"/>
  <c r="CA138" i="5"/>
  <c r="CB138" i="5" s="1"/>
  <c r="CA170" i="5"/>
  <c r="CB170" i="5" s="1"/>
  <c r="CA201" i="5"/>
  <c r="CB201" i="5" s="1"/>
  <c r="CA54" i="5"/>
  <c r="CB54" i="5" s="1"/>
  <c r="CA78" i="5"/>
  <c r="CB78" i="5" s="1"/>
  <c r="CA80" i="5"/>
  <c r="CB80" i="5" s="1"/>
  <c r="CA88" i="5"/>
  <c r="CB88" i="5" s="1"/>
  <c r="CA94" i="5"/>
  <c r="CB94" i="5" s="1"/>
  <c r="CA104" i="5"/>
  <c r="CB104" i="5" s="1"/>
  <c r="CA132" i="5"/>
  <c r="CB132" i="5" s="1"/>
  <c r="CA136" i="5"/>
  <c r="CB136" i="5" s="1"/>
  <c r="CA168" i="5"/>
  <c r="CB168" i="5" s="1"/>
  <c r="CA169" i="5"/>
  <c r="CB169" i="5" s="1"/>
  <c r="CA171" i="5"/>
  <c r="CB171" i="5" s="1"/>
  <c r="CA177" i="5"/>
  <c r="CB177" i="5" s="1"/>
  <c r="CA193" i="5"/>
  <c r="CB193" i="5" s="1"/>
  <c r="CA212" i="5"/>
  <c r="CB212" i="5" s="1"/>
  <c r="BM17" i="5"/>
  <c r="BO17" i="5" s="1"/>
  <c r="BQ21" i="5"/>
  <c r="BS21" i="5" s="1"/>
  <c r="BQ29" i="5"/>
  <c r="BS29" i="5" s="1"/>
  <c r="BM33" i="5"/>
  <c r="BO33" i="5" s="1"/>
  <c r="CA38" i="5"/>
  <c r="CB38" i="5" s="1"/>
  <c r="CA53" i="5"/>
  <c r="CB53" i="5" s="1"/>
  <c r="CA96" i="5"/>
  <c r="CB96" i="5" s="1"/>
  <c r="CA143" i="5"/>
  <c r="CB143" i="5" s="1"/>
  <c r="CA145" i="5"/>
  <c r="CB145" i="5" s="1"/>
  <c r="CA174" i="5"/>
  <c r="CB174" i="5" s="1"/>
  <c r="CA185" i="5"/>
  <c r="CB185" i="5" s="1"/>
  <c r="CA198" i="5"/>
  <c r="CB198" i="5" s="1"/>
  <c r="CA204" i="5"/>
  <c r="CB204" i="5" s="1"/>
  <c r="CA206" i="5"/>
  <c r="CB206" i="5" s="1"/>
  <c r="CA220" i="5"/>
  <c r="CB220" i="5" s="1"/>
  <c r="CA9" i="5"/>
  <c r="BO9" i="5"/>
  <c r="CA21" i="5"/>
  <c r="CA28" i="5"/>
  <c r="CA151" i="5"/>
  <c r="CB151" i="5" s="1"/>
  <c r="BS103" i="5"/>
  <c r="BT103" i="5" s="1"/>
  <c r="BQ13" i="5"/>
  <c r="BS13" i="5" s="1"/>
  <c r="CA32" i="5"/>
  <c r="CA37" i="5"/>
  <c r="CB37" i="5" s="1"/>
  <c r="CA49" i="5"/>
  <c r="CB49" i="5" s="1"/>
  <c r="CA57" i="5"/>
  <c r="CB57" i="5" s="1"/>
  <c r="CA74" i="5"/>
  <c r="CB74" i="5" s="1"/>
  <c r="CA75" i="5"/>
  <c r="CB75" i="5" s="1"/>
  <c r="CA91" i="5"/>
  <c r="CB91" i="5" s="1"/>
  <c r="CA98" i="5"/>
  <c r="CB98" i="5" s="1"/>
  <c r="CA99" i="5"/>
  <c r="CB99" i="5" s="1"/>
  <c r="CA156" i="5"/>
  <c r="CB156" i="5" s="1"/>
  <c r="CA188" i="5"/>
  <c r="CB188" i="5" s="1"/>
  <c r="CA190" i="5"/>
  <c r="CB190" i="5" s="1"/>
  <c r="CA197" i="5"/>
  <c r="CB197" i="5" s="1"/>
  <c r="CA205" i="5"/>
  <c r="CB205" i="5" s="1"/>
  <c r="CA116" i="5"/>
  <c r="CB116" i="5" s="1"/>
  <c r="CA130" i="5"/>
  <c r="CB130" i="5" s="1"/>
  <c r="CA180" i="5"/>
  <c r="CB180" i="5" s="1"/>
  <c r="CA210" i="5"/>
  <c r="CB210" i="5" s="1"/>
  <c r="C5" i="9"/>
  <c r="A33" i="10"/>
  <c r="D4" i="7"/>
  <c r="A60" i="7" s="1"/>
  <c r="C3" i="9"/>
  <c r="B10" i="9" s="1"/>
  <c r="BO54" i="5"/>
  <c r="BP54" i="5" s="1"/>
  <c r="BU17" i="5"/>
  <c r="BW17" i="5" s="1"/>
  <c r="B15" i="2"/>
  <c r="BM10" i="5"/>
  <c r="BO10" i="5" s="1"/>
  <c r="BU10" i="5"/>
  <c r="BW10" i="5" s="1"/>
  <c r="BQ14" i="5"/>
  <c r="BS14" i="5" s="1"/>
  <c r="BM18" i="5"/>
  <c r="BO18" i="5" s="1"/>
  <c r="BU18" i="5"/>
  <c r="BW18" i="5" s="1"/>
  <c r="BQ22" i="5"/>
  <c r="BS22" i="5" s="1"/>
  <c r="BM26" i="5"/>
  <c r="BO26" i="5" s="1"/>
  <c r="BU26" i="5"/>
  <c r="BW26" i="5" s="1"/>
  <c r="BQ30" i="5"/>
  <c r="BS30" i="5" s="1"/>
  <c r="BM34" i="5"/>
  <c r="BO34" i="5" s="1"/>
  <c r="BU34" i="5"/>
  <c r="BW34" i="5" s="1"/>
  <c r="BQ38" i="5"/>
  <c r="BS38" i="5" s="1"/>
  <c r="BT38" i="5" s="1"/>
  <c r="BM42" i="5"/>
  <c r="BO42" i="5" s="1"/>
  <c r="BP42" i="5" s="1"/>
  <c r="BU42" i="5"/>
  <c r="BW42" i="5" s="1"/>
  <c r="BX42" i="5" s="1"/>
  <c r="BQ46" i="5"/>
  <c r="BS46" i="5" s="1"/>
  <c r="BT46" i="5" s="1"/>
  <c r="BM50" i="5"/>
  <c r="BO50" i="5" s="1"/>
  <c r="BP50" i="5" s="1"/>
  <c r="BU50" i="5"/>
  <c r="BW50" i="5" s="1"/>
  <c r="BX50" i="5" s="1"/>
  <c r="BQ54" i="5"/>
  <c r="BS54" i="5" s="1"/>
  <c r="BT54" i="5" s="1"/>
  <c r="BQ73" i="5"/>
  <c r="BS73" i="5" s="1"/>
  <c r="BT73" i="5" s="1"/>
  <c r="BM7" i="5"/>
  <c r="C15" i="2" s="1"/>
  <c r="BM11" i="5"/>
  <c r="BO11" i="5" s="1"/>
  <c r="BU11" i="5"/>
  <c r="BW11" i="5" s="1"/>
  <c r="BQ15" i="5"/>
  <c r="BS15" i="5" s="1"/>
  <c r="BM19" i="5"/>
  <c r="BO19" i="5" s="1"/>
  <c r="BU19" i="5"/>
  <c r="BW19" i="5" s="1"/>
  <c r="BQ23" i="5"/>
  <c r="BS23" i="5" s="1"/>
  <c r="BM27" i="5"/>
  <c r="BO27" i="5" s="1"/>
  <c r="BU27" i="5"/>
  <c r="BW27" i="5" s="1"/>
  <c r="BQ31" i="5"/>
  <c r="BS31" i="5" s="1"/>
  <c r="BM35" i="5"/>
  <c r="BO35" i="5" s="1"/>
  <c r="BP35" i="5" s="1"/>
  <c r="BU35" i="5"/>
  <c r="BW35" i="5" s="1"/>
  <c r="BX35" i="5" s="1"/>
  <c r="BQ39" i="5"/>
  <c r="BS39" i="5" s="1"/>
  <c r="BT39" i="5" s="1"/>
  <c r="BM43" i="5"/>
  <c r="BO43" i="5" s="1"/>
  <c r="BP43" i="5" s="1"/>
  <c r="BU43" i="5"/>
  <c r="BW43" i="5" s="1"/>
  <c r="BX43" i="5" s="1"/>
  <c r="BQ47" i="5"/>
  <c r="BS47" i="5" s="1"/>
  <c r="BT47" i="5" s="1"/>
  <c r="BM51" i="5"/>
  <c r="BO51" i="5" s="1"/>
  <c r="BP51" i="5" s="1"/>
  <c r="BU51" i="5"/>
  <c r="BW51" i="5" s="1"/>
  <c r="BX51" i="5" s="1"/>
  <c r="BQ55" i="5"/>
  <c r="BS55" i="5" s="1"/>
  <c r="BT55" i="5" s="1"/>
  <c r="BU59" i="5"/>
  <c r="BW59" i="5" s="1"/>
  <c r="BX59" i="5" s="1"/>
  <c r="BQ62" i="5"/>
  <c r="BS62" i="5" s="1"/>
  <c r="BT62" i="5" s="1"/>
  <c r="BQ63" i="5"/>
  <c r="BS63" i="5" s="1"/>
  <c r="BT63" i="5" s="1"/>
  <c r="BQ67" i="5"/>
  <c r="BS67" i="5" s="1"/>
  <c r="BT67" i="5" s="1"/>
  <c r="BM69" i="5"/>
  <c r="BO69" i="5" s="1"/>
  <c r="BP69" i="5" s="1"/>
  <c r="BM71" i="5"/>
  <c r="BO71" i="5" s="1"/>
  <c r="BP71" i="5" s="1"/>
  <c r="BQ79" i="5"/>
  <c r="BS79" i="5" s="1"/>
  <c r="BT79" i="5" s="1"/>
  <c r="BM83" i="5"/>
  <c r="BO83" i="5" s="1"/>
  <c r="BP83" i="5" s="1"/>
  <c r="BQ111" i="5"/>
  <c r="BS111" i="5" s="1"/>
  <c r="BT111" i="5" s="1"/>
  <c r="BW121" i="5"/>
  <c r="BX121" i="5" s="1"/>
  <c r="BU33" i="5"/>
  <c r="BW33" i="5" s="1"/>
  <c r="BQ7" i="5"/>
  <c r="D15" i="2" s="1"/>
  <c r="BQ8" i="5"/>
  <c r="BS8" i="5" s="1"/>
  <c r="BM12" i="5"/>
  <c r="BO12" i="5" s="1"/>
  <c r="BU12" i="5"/>
  <c r="BW12" i="5" s="1"/>
  <c r="BQ16" i="5"/>
  <c r="BS16" i="5" s="1"/>
  <c r="BM20" i="5"/>
  <c r="BO20" i="5" s="1"/>
  <c r="BU20" i="5"/>
  <c r="BW20" i="5" s="1"/>
  <c r="BQ24" i="5"/>
  <c r="BS24" i="5" s="1"/>
  <c r="BM28" i="5"/>
  <c r="BO28" i="5" s="1"/>
  <c r="BU28" i="5"/>
  <c r="BW28" i="5" s="1"/>
  <c r="BQ32" i="5"/>
  <c r="BS32" i="5" s="1"/>
  <c r="BM36" i="5"/>
  <c r="BO36" i="5" s="1"/>
  <c r="BP36" i="5" s="1"/>
  <c r="BU36" i="5"/>
  <c r="BW36" i="5" s="1"/>
  <c r="BX36" i="5" s="1"/>
  <c r="BQ40" i="5"/>
  <c r="BS40" i="5" s="1"/>
  <c r="BT40" i="5" s="1"/>
  <c r="BM44" i="5"/>
  <c r="BO44" i="5" s="1"/>
  <c r="BP44" i="5" s="1"/>
  <c r="BU44" i="5"/>
  <c r="BW44" i="5" s="1"/>
  <c r="BX44" i="5" s="1"/>
  <c r="BQ48" i="5"/>
  <c r="BS48" i="5" s="1"/>
  <c r="BT48" i="5" s="1"/>
  <c r="BM52" i="5"/>
  <c r="BO52" i="5" s="1"/>
  <c r="BP52" i="5" s="1"/>
  <c r="BU52" i="5"/>
  <c r="BW52" i="5" s="1"/>
  <c r="BX52" i="5" s="1"/>
  <c r="BQ56" i="5"/>
  <c r="BS56" i="5" s="1"/>
  <c r="BT56" i="5" s="1"/>
  <c r="BQ65" i="5"/>
  <c r="BS65" i="5" s="1"/>
  <c r="BT65" i="5" s="1"/>
  <c r="BM74" i="5"/>
  <c r="BO74" i="5" s="1"/>
  <c r="BP74" i="5" s="1"/>
  <c r="BU83" i="5"/>
  <c r="BW83" i="5" s="1"/>
  <c r="BX83" i="5" s="1"/>
  <c r="BQ95" i="5"/>
  <c r="BS95" i="5" s="1"/>
  <c r="BT95" i="5" s="1"/>
  <c r="BM99" i="5"/>
  <c r="BM115" i="5"/>
  <c r="BO115" i="5" s="1"/>
  <c r="BP115" i="5" s="1"/>
  <c r="BU7" i="5"/>
  <c r="E15" i="2" s="1"/>
  <c r="BQ9" i="5"/>
  <c r="BS9" i="5" s="1"/>
  <c r="BM13" i="5"/>
  <c r="BO13" i="5" s="1"/>
  <c r="BU13" i="5"/>
  <c r="BW13" i="5" s="1"/>
  <c r="BQ17" i="5"/>
  <c r="BS17" i="5" s="1"/>
  <c r="BM21" i="5"/>
  <c r="BO21" i="5" s="1"/>
  <c r="BU21" i="5"/>
  <c r="BW21" i="5" s="1"/>
  <c r="BQ25" i="5"/>
  <c r="BS25" i="5" s="1"/>
  <c r="BM29" i="5"/>
  <c r="BO29" i="5" s="1"/>
  <c r="BU29" i="5"/>
  <c r="BW29" i="5" s="1"/>
  <c r="BQ33" i="5"/>
  <c r="BS33" i="5" s="1"/>
  <c r="BM37" i="5"/>
  <c r="BO37" i="5" s="1"/>
  <c r="BP37" i="5" s="1"/>
  <c r="BU37" i="5"/>
  <c r="BW37" i="5" s="1"/>
  <c r="BX37" i="5" s="1"/>
  <c r="BQ41" i="5"/>
  <c r="BS41" i="5" s="1"/>
  <c r="BT41" i="5" s="1"/>
  <c r="BM45" i="5"/>
  <c r="BO45" i="5" s="1"/>
  <c r="BP45" i="5" s="1"/>
  <c r="BU45" i="5"/>
  <c r="BW45" i="5" s="1"/>
  <c r="BX45" i="5" s="1"/>
  <c r="BQ49" i="5"/>
  <c r="BS49" i="5" s="1"/>
  <c r="BT49" i="5" s="1"/>
  <c r="BM53" i="5"/>
  <c r="BO53" i="5" s="1"/>
  <c r="BP53" i="5" s="1"/>
  <c r="BU53" i="5"/>
  <c r="BW53" i="5" s="1"/>
  <c r="BX53" i="5" s="1"/>
  <c r="BQ57" i="5"/>
  <c r="BS57" i="5" s="1"/>
  <c r="BT57" i="5" s="1"/>
  <c r="BM59" i="5"/>
  <c r="BO59" i="5" s="1"/>
  <c r="BP59" i="5" s="1"/>
  <c r="BU61" i="5"/>
  <c r="BW61" i="5" s="1"/>
  <c r="BX61" i="5" s="1"/>
  <c r="BU66" i="5"/>
  <c r="BW66" i="5" s="1"/>
  <c r="BX66" i="5" s="1"/>
  <c r="BU67" i="5"/>
  <c r="BW67" i="5" s="1"/>
  <c r="BX67" i="5" s="1"/>
  <c r="BQ70" i="5"/>
  <c r="BS70" i="5" s="1"/>
  <c r="BT70" i="5" s="1"/>
  <c r="BQ71" i="5"/>
  <c r="BS71" i="5" s="1"/>
  <c r="BT71" i="5" s="1"/>
  <c r="BU99" i="5"/>
  <c r="BW99" i="5" s="1"/>
  <c r="BX99" i="5" s="1"/>
  <c r="BU217" i="5"/>
  <c r="BW217" i="5" s="1"/>
  <c r="BX217" i="5" s="1"/>
  <c r="BU209" i="5"/>
  <c r="BU201" i="5"/>
  <c r="BU193" i="5"/>
  <c r="BW193" i="5" s="1"/>
  <c r="BX193" i="5" s="1"/>
  <c r="BU216" i="5"/>
  <c r="BW216" i="5" s="1"/>
  <c r="BX216" i="5" s="1"/>
  <c r="BU208" i="5"/>
  <c r="BW208" i="5" s="1"/>
  <c r="BX208" i="5" s="1"/>
  <c r="BU200" i="5"/>
  <c r="BW200" i="5" s="1"/>
  <c r="BX200" i="5" s="1"/>
  <c r="BU192" i="5"/>
  <c r="BW192" i="5" s="1"/>
  <c r="BX192" i="5" s="1"/>
  <c r="BU184" i="5"/>
  <c r="BW184" i="5" s="1"/>
  <c r="BX184" i="5" s="1"/>
  <c r="BU215" i="5"/>
  <c r="BU207" i="5"/>
  <c r="BW207" i="5" s="1"/>
  <c r="BX207" i="5" s="1"/>
  <c r="BU199" i="5"/>
  <c r="BW199" i="5" s="1"/>
  <c r="BX199" i="5" s="1"/>
  <c r="BU191" i="5"/>
  <c r="BW191" i="5" s="1"/>
  <c r="BX191" i="5" s="1"/>
  <c r="BU183" i="5"/>
  <c r="BW183" i="5" s="1"/>
  <c r="BX183" i="5" s="1"/>
  <c r="BU214" i="5"/>
  <c r="BW214" i="5" s="1"/>
  <c r="BX214" i="5" s="1"/>
  <c r="BU206" i="5"/>
  <c r="BW206" i="5" s="1"/>
  <c r="BX206" i="5" s="1"/>
  <c r="BU198" i="5"/>
  <c r="BW198" i="5" s="1"/>
  <c r="BX198" i="5" s="1"/>
  <c r="BU190" i="5"/>
  <c r="BU221" i="5"/>
  <c r="BW221" i="5" s="1"/>
  <c r="BX221" i="5" s="1"/>
  <c r="BU213" i="5"/>
  <c r="BW213" i="5" s="1"/>
  <c r="BX213" i="5" s="1"/>
  <c r="BU205" i="5"/>
  <c r="BW205" i="5" s="1"/>
  <c r="BX205" i="5" s="1"/>
  <c r="BU197" i="5"/>
  <c r="BW197" i="5" s="1"/>
  <c r="BX197" i="5" s="1"/>
  <c r="BU189" i="5"/>
  <c r="BW189" i="5" s="1"/>
  <c r="BX189" i="5" s="1"/>
  <c r="BU220" i="5"/>
  <c r="BW220" i="5" s="1"/>
  <c r="BX220" i="5" s="1"/>
  <c r="BU212" i="5"/>
  <c r="BW212" i="5" s="1"/>
  <c r="BX212" i="5" s="1"/>
  <c r="BU204" i="5"/>
  <c r="BW204" i="5" s="1"/>
  <c r="BX204" i="5" s="1"/>
  <c r="BU196" i="5"/>
  <c r="BW196" i="5" s="1"/>
  <c r="BX196" i="5" s="1"/>
  <c r="BU188" i="5"/>
  <c r="BW188" i="5" s="1"/>
  <c r="BX188" i="5" s="1"/>
  <c r="BU180" i="5"/>
  <c r="BW180" i="5" s="1"/>
  <c r="BX180" i="5" s="1"/>
  <c r="BU219" i="5"/>
  <c r="BW219" i="5" s="1"/>
  <c r="BX219" i="5" s="1"/>
  <c r="BU211" i="5"/>
  <c r="BW211" i="5" s="1"/>
  <c r="BX211" i="5" s="1"/>
  <c r="BU203" i="5"/>
  <c r="BW203" i="5" s="1"/>
  <c r="BX203" i="5" s="1"/>
  <c r="BU195" i="5"/>
  <c r="BW195" i="5" s="1"/>
  <c r="BX195" i="5" s="1"/>
  <c r="BU187" i="5"/>
  <c r="BU179" i="5"/>
  <c r="BW179" i="5" s="1"/>
  <c r="BX179" i="5" s="1"/>
  <c r="BU218" i="5"/>
  <c r="BW218" i="5" s="1"/>
  <c r="BX218" i="5" s="1"/>
  <c r="BU210" i="5"/>
  <c r="BW210" i="5" s="1"/>
  <c r="BX210" i="5" s="1"/>
  <c r="BU202" i="5"/>
  <c r="BW202" i="5" s="1"/>
  <c r="BX202" i="5" s="1"/>
  <c r="BU194" i="5"/>
  <c r="BW194" i="5" s="1"/>
  <c r="BX194" i="5" s="1"/>
  <c r="BU186" i="5"/>
  <c r="BW186" i="5" s="1"/>
  <c r="BX186" i="5" s="1"/>
  <c r="BU178" i="5"/>
  <c r="BW178" i="5" s="1"/>
  <c r="BX178" i="5" s="1"/>
  <c r="BU173" i="5"/>
  <c r="BW173" i="5" s="1"/>
  <c r="BX173" i="5" s="1"/>
  <c r="BU170" i="5"/>
  <c r="BW170" i="5" s="1"/>
  <c r="BX170" i="5" s="1"/>
  <c r="BU162" i="5"/>
  <c r="BW162" i="5" s="1"/>
  <c r="BX162" i="5" s="1"/>
  <c r="BU154" i="5"/>
  <c r="BW154" i="5" s="1"/>
  <c r="BX154" i="5" s="1"/>
  <c r="BU146" i="5"/>
  <c r="BW146" i="5" s="1"/>
  <c r="BX146" i="5" s="1"/>
  <c r="BU138" i="5"/>
  <c r="BW138" i="5" s="1"/>
  <c r="BX138" i="5" s="1"/>
  <c r="BU130" i="5"/>
  <c r="BW130" i="5" s="1"/>
  <c r="BX130" i="5" s="1"/>
  <c r="BU122" i="5"/>
  <c r="BW122" i="5" s="1"/>
  <c r="BX122" i="5" s="1"/>
  <c r="BU175" i="5"/>
  <c r="BU169" i="5"/>
  <c r="BW169" i="5" s="1"/>
  <c r="BX169" i="5" s="1"/>
  <c r="BU161" i="5"/>
  <c r="BW161" i="5" s="1"/>
  <c r="BX161" i="5" s="1"/>
  <c r="BU153" i="5"/>
  <c r="BW153" i="5" s="1"/>
  <c r="BX153" i="5" s="1"/>
  <c r="BU145" i="5"/>
  <c r="BW145" i="5" s="1"/>
  <c r="BX145" i="5" s="1"/>
  <c r="BU137" i="5"/>
  <c r="BW137" i="5" s="1"/>
  <c r="BX137" i="5" s="1"/>
  <c r="BU129" i="5"/>
  <c r="BW129" i="5" s="1"/>
  <c r="BX129" i="5" s="1"/>
  <c r="BU168" i="5"/>
  <c r="BW168" i="5" s="1"/>
  <c r="BX168" i="5" s="1"/>
  <c r="BU160" i="5"/>
  <c r="BU152" i="5"/>
  <c r="BW152" i="5" s="1"/>
  <c r="BX152" i="5" s="1"/>
  <c r="BU144" i="5"/>
  <c r="BU136" i="5"/>
  <c r="BW136" i="5" s="1"/>
  <c r="BX136" i="5" s="1"/>
  <c r="BU128" i="5"/>
  <c r="BW128" i="5" s="1"/>
  <c r="BX128" i="5" s="1"/>
  <c r="BU120" i="5"/>
  <c r="BW120" i="5" s="1"/>
  <c r="BX120" i="5" s="1"/>
  <c r="BU176" i="5"/>
  <c r="BW176" i="5" s="1"/>
  <c r="BX176" i="5" s="1"/>
  <c r="BU167" i="5"/>
  <c r="BW167" i="5" s="1"/>
  <c r="BX167" i="5" s="1"/>
  <c r="BU159" i="5"/>
  <c r="BU151" i="5"/>
  <c r="BW151" i="5" s="1"/>
  <c r="BX151" i="5" s="1"/>
  <c r="BU143" i="5"/>
  <c r="BW143" i="5" s="1"/>
  <c r="BX143" i="5" s="1"/>
  <c r="BU135" i="5"/>
  <c r="BW135" i="5" s="1"/>
  <c r="BX135" i="5" s="1"/>
  <c r="BU127" i="5"/>
  <c r="BW127" i="5" s="1"/>
  <c r="BX127" i="5" s="1"/>
  <c r="BU119" i="5"/>
  <c r="BW119" i="5" s="1"/>
  <c r="BX119" i="5" s="1"/>
  <c r="BU185" i="5"/>
  <c r="BW185" i="5" s="1"/>
  <c r="BX185" i="5" s="1"/>
  <c r="BU166" i="5"/>
  <c r="BW166" i="5" s="1"/>
  <c r="BX166" i="5" s="1"/>
  <c r="BU158" i="5"/>
  <c r="BU150" i="5"/>
  <c r="BW150" i="5" s="1"/>
  <c r="BX150" i="5" s="1"/>
  <c r="BU142" i="5"/>
  <c r="BW142" i="5" s="1"/>
  <c r="BX142" i="5" s="1"/>
  <c r="BU134" i="5"/>
  <c r="BW134" i="5" s="1"/>
  <c r="BX134" i="5" s="1"/>
  <c r="BU126" i="5"/>
  <c r="BW126" i="5" s="1"/>
  <c r="BX126" i="5" s="1"/>
  <c r="BU181" i="5"/>
  <c r="BW181" i="5" s="1"/>
  <c r="BX181" i="5" s="1"/>
  <c r="BU177" i="5"/>
  <c r="BW177" i="5" s="1"/>
  <c r="BX177" i="5" s="1"/>
  <c r="BU174" i="5"/>
  <c r="BW174" i="5" s="1"/>
  <c r="BX174" i="5" s="1"/>
  <c r="BU165" i="5"/>
  <c r="BU157" i="5"/>
  <c r="BW157" i="5" s="1"/>
  <c r="BX157" i="5" s="1"/>
  <c r="BU149" i="5"/>
  <c r="BW149" i="5" s="1"/>
  <c r="BX149" i="5" s="1"/>
  <c r="BU141" i="5"/>
  <c r="BW141" i="5" s="1"/>
  <c r="BX141" i="5" s="1"/>
  <c r="BU133" i="5"/>
  <c r="BW133" i="5" s="1"/>
  <c r="BX133" i="5" s="1"/>
  <c r="BU125" i="5"/>
  <c r="BW125" i="5" s="1"/>
  <c r="BX125" i="5" s="1"/>
  <c r="BU171" i="5"/>
  <c r="BW171" i="5" s="1"/>
  <c r="BX171" i="5" s="1"/>
  <c r="BU163" i="5"/>
  <c r="BW163" i="5" s="1"/>
  <c r="BX163" i="5" s="1"/>
  <c r="BU155" i="5"/>
  <c r="BU147" i="5"/>
  <c r="BW147" i="5" s="1"/>
  <c r="BX147" i="5" s="1"/>
  <c r="BU139" i="5"/>
  <c r="BW139" i="5" s="1"/>
  <c r="BX139" i="5" s="1"/>
  <c r="BU131" i="5"/>
  <c r="BW131" i="5" s="1"/>
  <c r="BX131" i="5" s="1"/>
  <c r="BU156" i="5"/>
  <c r="BW156" i="5" s="1"/>
  <c r="BX156" i="5" s="1"/>
  <c r="BU132" i="5"/>
  <c r="BW132" i="5" s="1"/>
  <c r="BX132" i="5" s="1"/>
  <c r="BU124" i="5"/>
  <c r="BW124" i="5" s="1"/>
  <c r="BX124" i="5" s="1"/>
  <c r="BU113" i="5"/>
  <c r="BW113" i="5" s="1"/>
  <c r="BX113" i="5" s="1"/>
  <c r="BU105" i="5"/>
  <c r="BW105" i="5" s="1"/>
  <c r="BX105" i="5" s="1"/>
  <c r="BU97" i="5"/>
  <c r="BW97" i="5" s="1"/>
  <c r="BX97" i="5" s="1"/>
  <c r="BU89" i="5"/>
  <c r="BW89" i="5" s="1"/>
  <c r="BX89" i="5" s="1"/>
  <c r="BU81" i="5"/>
  <c r="BW81" i="5" s="1"/>
  <c r="BX81" i="5" s="1"/>
  <c r="BU73" i="5"/>
  <c r="BW73" i="5" s="1"/>
  <c r="BX73" i="5" s="1"/>
  <c r="BU65" i="5"/>
  <c r="BW65" i="5" s="1"/>
  <c r="BX65" i="5" s="1"/>
  <c r="BU118" i="5"/>
  <c r="BW118" i="5" s="1"/>
  <c r="BX118" i="5" s="1"/>
  <c r="BU112" i="5"/>
  <c r="BW112" i="5" s="1"/>
  <c r="BX112" i="5" s="1"/>
  <c r="BU104" i="5"/>
  <c r="BU96" i="5"/>
  <c r="BW96" i="5" s="1"/>
  <c r="BX96" i="5" s="1"/>
  <c r="BU88" i="5"/>
  <c r="BU80" i="5"/>
  <c r="BW80" i="5" s="1"/>
  <c r="BX80" i="5" s="1"/>
  <c r="BU72" i="5"/>
  <c r="BW72" i="5" s="1"/>
  <c r="BX72" i="5" s="1"/>
  <c r="BU64" i="5"/>
  <c r="BW64" i="5" s="1"/>
  <c r="BX64" i="5" s="1"/>
  <c r="BU140" i="5"/>
  <c r="BW140" i="5" s="1"/>
  <c r="BX140" i="5" s="1"/>
  <c r="BU116" i="5"/>
  <c r="BW116" i="5" s="1"/>
  <c r="BX116" i="5" s="1"/>
  <c r="BU111" i="5"/>
  <c r="BW111" i="5" s="1"/>
  <c r="BX111" i="5" s="1"/>
  <c r="BU103" i="5"/>
  <c r="BW103" i="5" s="1"/>
  <c r="BX103" i="5" s="1"/>
  <c r="BU95" i="5"/>
  <c r="BW95" i="5" s="1"/>
  <c r="BX95" i="5" s="1"/>
  <c r="BU87" i="5"/>
  <c r="BW87" i="5" s="1"/>
  <c r="BX87" i="5" s="1"/>
  <c r="BU79" i="5"/>
  <c r="BW79" i="5" s="1"/>
  <c r="BX79" i="5" s="1"/>
  <c r="BU71" i="5"/>
  <c r="BU172" i="5"/>
  <c r="BW172" i="5" s="1"/>
  <c r="BX172" i="5" s="1"/>
  <c r="BU110" i="5"/>
  <c r="BW110" i="5" s="1"/>
  <c r="BX110" i="5" s="1"/>
  <c r="BU102" i="5"/>
  <c r="BW102" i="5" s="1"/>
  <c r="BX102" i="5" s="1"/>
  <c r="BU94" i="5"/>
  <c r="BW94" i="5" s="1"/>
  <c r="BX94" i="5" s="1"/>
  <c r="BU86" i="5"/>
  <c r="BW86" i="5" s="1"/>
  <c r="BX86" i="5" s="1"/>
  <c r="BU78" i="5"/>
  <c r="BW78" i="5" s="1"/>
  <c r="BX78" i="5" s="1"/>
  <c r="BU70" i="5"/>
  <c r="BW70" i="5" s="1"/>
  <c r="BX70" i="5" s="1"/>
  <c r="BU62" i="5"/>
  <c r="BW62" i="5" s="1"/>
  <c r="BX62" i="5" s="1"/>
  <c r="BU182" i="5"/>
  <c r="BW182" i="5" s="1"/>
  <c r="BX182" i="5" s="1"/>
  <c r="BU109" i="5"/>
  <c r="BW109" i="5" s="1"/>
  <c r="BX109" i="5" s="1"/>
  <c r="BU101" i="5"/>
  <c r="BU93" i="5"/>
  <c r="BW93" i="5" s="1"/>
  <c r="BX93" i="5" s="1"/>
  <c r="BU85" i="5"/>
  <c r="BW85" i="5" s="1"/>
  <c r="BX85" i="5" s="1"/>
  <c r="BU77" i="5"/>
  <c r="BW77" i="5" s="1"/>
  <c r="BX77" i="5" s="1"/>
  <c r="BU164" i="5"/>
  <c r="BW164" i="5" s="1"/>
  <c r="BX164" i="5" s="1"/>
  <c r="BU148" i="5"/>
  <c r="BW148" i="5" s="1"/>
  <c r="BX148" i="5" s="1"/>
  <c r="BU108" i="5"/>
  <c r="BW108" i="5" s="1"/>
  <c r="BX108" i="5" s="1"/>
  <c r="BU100" i="5"/>
  <c r="BW100" i="5" s="1"/>
  <c r="BX100" i="5" s="1"/>
  <c r="BU92" i="5"/>
  <c r="BW92" i="5" s="1"/>
  <c r="BX92" i="5" s="1"/>
  <c r="BU84" i="5"/>
  <c r="BW84" i="5" s="1"/>
  <c r="BX84" i="5" s="1"/>
  <c r="BU76" i="5"/>
  <c r="BW76" i="5" s="1"/>
  <c r="BX76" i="5" s="1"/>
  <c r="BU68" i="5"/>
  <c r="BW68" i="5" s="1"/>
  <c r="BX68" i="5" s="1"/>
  <c r="BU60" i="5"/>
  <c r="BW60" i="5" s="1"/>
  <c r="BX60" i="5" s="1"/>
  <c r="BU123" i="5"/>
  <c r="BW123" i="5" s="1"/>
  <c r="BX123" i="5" s="1"/>
  <c r="BU115" i="5"/>
  <c r="BW115" i="5" s="1"/>
  <c r="BX115" i="5" s="1"/>
  <c r="BU114" i="5"/>
  <c r="BW114" i="5" s="1"/>
  <c r="BX114" i="5" s="1"/>
  <c r="BU106" i="5"/>
  <c r="BU98" i="5"/>
  <c r="BW98" i="5" s="1"/>
  <c r="BX98" i="5" s="1"/>
  <c r="BU90" i="5"/>
  <c r="BW90" i="5" s="1"/>
  <c r="BX90" i="5" s="1"/>
  <c r="BU82" i="5"/>
  <c r="BW82" i="5" s="1"/>
  <c r="BX82" i="5" s="1"/>
  <c r="BU74" i="5"/>
  <c r="BW74" i="5" s="1"/>
  <c r="BX74" i="5" s="1"/>
  <c r="BU9" i="5"/>
  <c r="BW9" i="5" s="1"/>
  <c r="BU25" i="5"/>
  <c r="BW25" i="5" s="1"/>
  <c r="BQ10" i="5"/>
  <c r="BS10" i="5" s="1"/>
  <c r="BM14" i="5"/>
  <c r="BO14" i="5" s="1"/>
  <c r="BU14" i="5"/>
  <c r="BW14" i="5" s="1"/>
  <c r="BQ18" i="5"/>
  <c r="BS18" i="5" s="1"/>
  <c r="BM22" i="5"/>
  <c r="BO22" i="5" s="1"/>
  <c r="BU22" i="5"/>
  <c r="BW22" i="5" s="1"/>
  <c r="BQ26" i="5"/>
  <c r="BS26" i="5" s="1"/>
  <c r="BM30" i="5"/>
  <c r="BO30" i="5" s="1"/>
  <c r="BU30" i="5"/>
  <c r="BW30" i="5" s="1"/>
  <c r="BQ34" i="5"/>
  <c r="BS34" i="5" s="1"/>
  <c r="BM38" i="5"/>
  <c r="BO38" i="5" s="1"/>
  <c r="BP38" i="5" s="1"/>
  <c r="BU38" i="5"/>
  <c r="BW38" i="5" s="1"/>
  <c r="BX38" i="5" s="1"/>
  <c r="BQ42" i="5"/>
  <c r="BS42" i="5" s="1"/>
  <c r="BT42" i="5" s="1"/>
  <c r="BM46" i="5"/>
  <c r="BO46" i="5" s="1"/>
  <c r="BP46" i="5" s="1"/>
  <c r="BU46" i="5"/>
  <c r="BW46" i="5" s="1"/>
  <c r="BX46" i="5" s="1"/>
  <c r="BQ50" i="5"/>
  <c r="BS50" i="5" s="1"/>
  <c r="BT50" i="5" s="1"/>
  <c r="BU54" i="5"/>
  <c r="BW54" i="5" s="1"/>
  <c r="BX54" i="5" s="1"/>
  <c r="BU58" i="5"/>
  <c r="BW58" i="5" s="1"/>
  <c r="BX58" i="5" s="1"/>
  <c r="BU63" i="5"/>
  <c r="BW63" i="5" s="1"/>
  <c r="BX63" i="5" s="1"/>
  <c r="BM217" i="5"/>
  <c r="BM209" i="5"/>
  <c r="BO209" i="5" s="1"/>
  <c r="BP209" i="5" s="1"/>
  <c r="BM201" i="5"/>
  <c r="BO201" i="5" s="1"/>
  <c r="BP201" i="5" s="1"/>
  <c r="BM193" i="5"/>
  <c r="BO193" i="5" s="1"/>
  <c r="BP193" i="5" s="1"/>
  <c r="BM216" i="5"/>
  <c r="BO216" i="5" s="1"/>
  <c r="BP216" i="5" s="1"/>
  <c r="BM208" i="5"/>
  <c r="BO208" i="5" s="1"/>
  <c r="BP208" i="5" s="1"/>
  <c r="BM200" i="5"/>
  <c r="BO200" i="5" s="1"/>
  <c r="BP200" i="5" s="1"/>
  <c r="BM192" i="5"/>
  <c r="BO192" i="5" s="1"/>
  <c r="BP192" i="5" s="1"/>
  <c r="BM184" i="5"/>
  <c r="BO184" i="5" s="1"/>
  <c r="BP184" i="5" s="1"/>
  <c r="BM215" i="5"/>
  <c r="BO215" i="5" s="1"/>
  <c r="BP215" i="5" s="1"/>
  <c r="BM207" i="5"/>
  <c r="BO207" i="5" s="1"/>
  <c r="BP207" i="5" s="1"/>
  <c r="BM199" i="5"/>
  <c r="BO199" i="5" s="1"/>
  <c r="BP199" i="5" s="1"/>
  <c r="BM191" i="5"/>
  <c r="BO191" i="5" s="1"/>
  <c r="BP191" i="5" s="1"/>
  <c r="BM183" i="5"/>
  <c r="BO183" i="5" s="1"/>
  <c r="BP183" i="5" s="1"/>
  <c r="BM214" i="5"/>
  <c r="BO214" i="5" s="1"/>
  <c r="BP214" i="5" s="1"/>
  <c r="BM206" i="5"/>
  <c r="BO206" i="5" s="1"/>
  <c r="BP206" i="5" s="1"/>
  <c r="BM198" i="5"/>
  <c r="BO198" i="5" s="1"/>
  <c r="BP198" i="5" s="1"/>
  <c r="BM190" i="5"/>
  <c r="BO190" i="5" s="1"/>
  <c r="BP190" i="5" s="1"/>
  <c r="BM221" i="5"/>
  <c r="BO221" i="5" s="1"/>
  <c r="BP221" i="5" s="1"/>
  <c r="BM213" i="5"/>
  <c r="BO213" i="5" s="1"/>
  <c r="BP213" i="5" s="1"/>
  <c r="BM205" i="5"/>
  <c r="BO205" i="5" s="1"/>
  <c r="BP205" i="5" s="1"/>
  <c r="BM197" i="5"/>
  <c r="BO197" i="5" s="1"/>
  <c r="BP197" i="5" s="1"/>
  <c r="BM189" i="5"/>
  <c r="BO189" i="5" s="1"/>
  <c r="BP189" i="5" s="1"/>
  <c r="BM220" i="5"/>
  <c r="BO220" i="5" s="1"/>
  <c r="BP220" i="5" s="1"/>
  <c r="BM212" i="5"/>
  <c r="BM204" i="5"/>
  <c r="BO204" i="5" s="1"/>
  <c r="BP204" i="5" s="1"/>
  <c r="BM196" i="5"/>
  <c r="BO196" i="5" s="1"/>
  <c r="BP196" i="5" s="1"/>
  <c r="BM188" i="5"/>
  <c r="BO188" i="5" s="1"/>
  <c r="BP188" i="5" s="1"/>
  <c r="BM180" i="5"/>
  <c r="BO180" i="5" s="1"/>
  <c r="BP180" i="5" s="1"/>
  <c r="BM219" i="5"/>
  <c r="BO219" i="5" s="1"/>
  <c r="BP219" i="5" s="1"/>
  <c r="BM211" i="5"/>
  <c r="BO211" i="5" s="1"/>
  <c r="BP211" i="5" s="1"/>
  <c r="BM203" i="5"/>
  <c r="BO203" i="5" s="1"/>
  <c r="BP203" i="5" s="1"/>
  <c r="BM195" i="5"/>
  <c r="BM187" i="5"/>
  <c r="BO187" i="5" s="1"/>
  <c r="BP187" i="5" s="1"/>
  <c r="BM179" i="5"/>
  <c r="BO179" i="5" s="1"/>
  <c r="BP179" i="5" s="1"/>
  <c r="BM218" i="5"/>
  <c r="BO218" i="5" s="1"/>
  <c r="BP218" i="5" s="1"/>
  <c r="BM210" i="5"/>
  <c r="BO210" i="5" s="1"/>
  <c r="BP210" i="5" s="1"/>
  <c r="BM202" i="5"/>
  <c r="BO202" i="5" s="1"/>
  <c r="BP202" i="5" s="1"/>
  <c r="BM194" i="5"/>
  <c r="BO194" i="5" s="1"/>
  <c r="BP194" i="5" s="1"/>
  <c r="BM186" i="5"/>
  <c r="BO186" i="5" s="1"/>
  <c r="BP186" i="5" s="1"/>
  <c r="BM170" i="5"/>
  <c r="BO170" i="5" s="1"/>
  <c r="BP170" i="5" s="1"/>
  <c r="BM162" i="5"/>
  <c r="BO162" i="5" s="1"/>
  <c r="BP162" i="5" s="1"/>
  <c r="BM154" i="5"/>
  <c r="BO154" i="5" s="1"/>
  <c r="BP154" i="5" s="1"/>
  <c r="BM146" i="5"/>
  <c r="BO146" i="5" s="1"/>
  <c r="BP146" i="5" s="1"/>
  <c r="BM138" i="5"/>
  <c r="BO138" i="5" s="1"/>
  <c r="BP138" i="5" s="1"/>
  <c r="BM130" i="5"/>
  <c r="BO130" i="5" s="1"/>
  <c r="BP130" i="5" s="1"/>
  <c r="BM122" i="5"/>
  <c r="BO122" i="5" s="1"/>
  <c r="BP122" i="5" s="1"/>
  <c r="BM176" i="5"/>
  <c r="BO176" i="5" s="1"/>
  <c r="BP176" i="5" s="1"/>
  <c r="BM169" i="5"/>
  <c r="BO169" i="5" s="1"/>
  <c r="BP169" i="5" s="1"/>
  <c r="BM161" i="5"/>
  <c r="BO161" i="5" s="1"/>
  <c r="BP161" i="5" s="1"/>
  <c r="BM153" i="5"/>
  <c r="BO153" i="5" s="1"/>
  <c r="BP153" i="5" s="1"/>
  <c r="BM145" i="5"/>
  <c r="BO145" i="5" s="1"/>
  <c r="BP145" i="5" s="1"/>
  <c r="BM137" i="5"/>
  <c r="BO137" i="5" s="1"/>
  <c r="BP137" i="5" s="1"/>
  <c r="BM129" i="5"/>
  <c r="BO129" i="5" s="1"/>
  <c r="BP129" i="5" s="1"/>
  <c r="BM182" i="5"/>
  <c r="BO182" i="5" s="1"/>
  <c r="BP182" i="5" s="1"/>
  <c r="BM181" i="5"/>
  <c r="BO181" i="5" s="1"/>
  <c r="BP181" i="5" s="1"/>
  <c r="BM168" i="5"/>
  <c r="BM160" i="5"/>
  <c r="BO160" i="5" s="1"/>
  <c r="BP160" i="5" s="1"/>
  <c r="BM152" i="5"/>
  <c r="BO152" i="5" s="1"/>
  <c r="BP152" i="5" s="1"/>
  <c r="BM144" i="5"/>
  <c r="BO144" i="5" s="1"/>
  <c r="BP144" i="5" s="1"/>
  <c r="BM136" i="5"/>
  <c r="BO136" i="5" s="1"/>
  <c r="BP136" i="5" s="1"/>
  <c r="BM128" i="5"/>
  <c r="BO128" i="5" s="1"/>
  <c r="BP128" i="5" s="1"/>
  <c r="BM177" i="5"/>
  <c r="BO177" i="5" s="1"/>
  <c r="BP177" i="5" s="1"/>
  <c r="BM174" i="5"/>
  <c r="BO174" i="5" s="1"/>
  <c r="BP174" i="5" s="1"/>
  <c r="BM167" i="5"/>
  <c r="BO167" i="5" s="1"/>
  <c r="BP167" i="5" s="1"/>
  <c r="BM159" i="5"/>
  <c r="BO159" i="5" s="1"/>
  <c r="BP159" i="5" s="1"/>
  <c r="BM151" i="5"/>
  <c r="BO151" i="5" s="1"/>
  <c r="BP151" i="5" s="1"/>
  <c r="BM143" i="5"/>
  <c r="BO143" i="5" s="1"/>
  <c r="BP143" i="5" s="1"/>
  <c r="BM135" i="5"/>
  <c r="BO135" i="5" s="1"/>
  <c r="BP135" i="5" s="1"/>
  <c r="BM127" i="5"/>
  <c r="BO127" i="5" s="1"/>
  <c r="BP127" i="5" s="1"/>
  <c r="BM119" i="5"/>
  <c r="BO119" i="5" s="1"/>
  <c r="BP119" i="5" s="1"/>
  <c r="BM166" i="5"/>
  <c r="BO166" i="5" s="1"/>
  <c r="BP166" i="5" s="1"/>
  <c r="BM158" i="5"/>
  <c r="BM150" i="5"/>
  <c r="BO150" i="5" s="1"/>
  <c r="BP150" i="5" s="1"/>
  <c r="BM142" i="5"/>
  <c r="BO142" i="5" s="1"/>
  <c r="BP142" i="5" s="1"/>
  <c r="BM134" i="5"/>
  <c r="BO134" i="5" s="1"/>
  <c r="BP134" i="5" s="1"/>
  <c r="BM126" i="5"/>
  <c r="BO126" i="5" s="1"/>
  <c r="BP126" i="5" s="1"/>
  <c r="BM165" i="5"/>
  <c r="BO165" i="5" s="1"/>
  <c r="BP165" i="5" s="1"/>
  <c r="BM157" i="5"/>
  <c r="BO157" i="5" s="1"/>
  <c r="BP157" i="5" s="1"/>
  <c r="BM149" i="5"/>
  <c r="BO149" i="5" s="1"/>
  <c r="BP149" i="5" s="1"/>
  <c r="BM141" i="5"/>
  <c r="BO141" i="5" s="1"/>
  <c r="BP141" i="5" s="1"/>
  <c r="BM133" i="5"/>
  <c r="BO133" i="5" s="1"/>
  <c r="BP133" i="5" s="1"/>
  <c r="BM125" i="5"/>
  <c r="BO125" i="5" s="1"/>
  <c r="BP125" i="5" s="1"/>
  <c r="BM175" i="5"/>
  <c r="BO175" i="5" s="1"/>
  <c r="BP175" i="5" s="1"/>
  <c r="BM171" i="5"/>
  <c r="BO171" i="5" s="1"/>
  <c r="BP171" i="5" s="1"/>
  <c r="BM163" i="5"/>
  <c r="BO163" i="5" s="1"/>
  <c r="BP163" i="5" s="1"/>
  <c r="BM155" i="5"/>
  <c r="BO155" i="5" s="1"/>
  <c r="BP155" i="5" s="1"/>
  <c r="BM147" i="5"/>
  <c r="BO147" i="5" s="1"/>
  <c r="BP147" i="5" s="1"/>
  <c r="BM139" i="5"/>
  <c r="BM131" i="5"/>
  <c r="BO131" i="5" s="1"/>
  <c r="BP131" i="5" s="1"/>
  <c r="BM185" i="5"/>
  <c r="BO185" i="5" s="1"/>
  <c r="BP185" i="5" s="1"/>
  <c r="BM116" i="5"/>
  <c r="BO116" i="5" s="1"/>
  <c r="BP116" i="5" s="1"/>
  <c r="BM113" i="5"/>
  <c r="BO113" i="5" s="1"/>
  <c r="BP113" i="5" s="1"/>
  <c r="BM105" i="5"/>
  <c r="BO105" i="5" s="1"/>
  <c r="BP105" i="5" s="1"/>
  <c r="BM97" i="5"/>
  <c r="BO97" i="5" s="1"/>
  <c r="BP97" i="5" s="1"/>
  <c r="BM89" i="5"/>
  <c r="BO89" i="5" s="1"/>
  <c r="BP89" i="5" s="1"/>
  <c r="BM81" i="5"/>
  <c r="BO81" i="5" s="1"/>
  <c r="BP81" i="5" s="1"/>
  <c r="BM73" i="5"/>
  <c r="BO73" i="5" s="1"/>
  <c r="BP73" i="5" s="1"/>
  <c r="BM65" i="5"/>
  <c r="BO65" i="5" s="1"/>
  <c r="BP65" i="5" s="1"/>
  <c r="BM156" i="5"/>
  <c r="BO156" i="5" s="1"/>
  <c r="BP156" i="5" s="1"/>
  <c r="BM123" i="5"/>
  <c r="BO123" i="5" s="1"/>
  <c r="BP123" i="5" s="1"/>
  <c r="BM112" i="5"/>
  <c r="BO112" i="5" s="1"/>
  <c r="BP112" i="5" s="1"/>
  <c r="BM104" i="5"/>
  <c r="BO104" i="5" s="1"/>
  <c r="BP104" i="5" s="1"/>
  <c r="BM96" i="5"/>
  <c r="BO96" i="5" s="1"/>
  <c r="BP96" i="5" s="1"/>
  <c r="BM88" i="5"/>
  <c r="BO88" i="5" s="1"/>
  <c r="BP88" i="5" s="1"/>
  <c r="BM80" i="5"/>
  <c r="BO80" i="5" s="1"/>
  <c r="BP80" i="5" s="1"/>
  <c r="BM72" i="5"/>
  <c r="BO72" i="5" s="1"/>
  <c r="BP72" i="5" s="1"/>
  <c r="BM64" i="5"/>
  <c r="BO64" i="5" s="1"/>
  <c r="BP64" i="5" s="1"/>
  <c r="BM173" i="5"/>
  <c r="BO173" i="5" s="1"/>
  <c r="BP173" i="5" s="1"/>
  <c r="BM132" i="5"/>
  <c r="BO132" i="5" s="1"/>
  <c r="BP132" i="5" s="1"/>
  <c r="BM111" i="5"/>
  <c r="BO111" i="5" s="1"/>
  <c r="BP111" i="5" s="1"/>
  <c r="BM103" i="5"/>
  <c r="BO103" i="5" s="1"/>
  <c r="BP103" i="5" s="1"/>
  <c r="BM95" i="5"/>
  <c r="BO95" i="5" s="1"/>
  <c r="BP95" i="5" s="1"/>
  <c r="BM87" i="5"/>
  <c r="BO87" i="5" s="1"/>
  <c r="BP87" i="5" s="1"/>
  <c r="BM79" i="5"/>
  <c r="BO79" i="5" s="1"/>
  <c r="BP79" i="5" s="1"/>
  <c r="BM124" i="5"/>
  <c r="BO124" i="5" s="1"/>
  <c r="BP124" i="5" s="1"/>
  <c r="BM121" i="5"/>
  <c r="BO121" i="5" s="1"/>
  <c r="BP121" i="5" s="1"/>
  <c r="BM110" i="5"/>
  <c r="BO110" i="5" s="1"/>
  <c r="BP110" i="5" s="1"/>
  <c r="BM102" i="5"/>
  <c r="BO102" i="5" s="1"/>
  <c r="BP102" i="5" s="1"/>
  <c r="BM94" i="5"/>
  <c r="BO94" i="5" s="1"/>
  <c r="BP94" i="5" s="1"/>
  <c r="BM86" i="5"/>
  <c r="BO86" i="5" s="1"/>
  <c r="BP86" i="5" s="1"/>
  <c r="BM78" i="5"/>
  <c r="BO78" i="5" s="1"/>
  <c r="BP78" i="5" s="1"/>
  <c r="BM70" i="5"/>
  <c r="BO70" i="5" s="1"/>
  <c r="BP70" i="5" s="1"/>
  <c r="BM62" i="5"/>
  <c r="BO62" i="5" s="1"/>
  <c r="BP62" i="5" s="1"/>
  <c r="BM178" i="5"/>
  <c r="BO178" i="5" s="1"/>
  <c r="BP178" i="5" s="1"/>
  <c r="BM172" i="5"/>
  <c r="BO172" i="5" s="1"/>
  <c r="BP172" i="5" s="1"/>
  <c r="BM140" i="5"/>
  <c r="BO140" i="5" s="1"/>
  <c r="BP140" i="5" s="1"/>
  <c r="BM117" i="5"/>
  <c r="BO117" i="5" s="1"/>
  <c r="BP117" i="5" s="1"/>
  <c r="BM109" i="5"/>
  <c r="BO109" i="5" s="1"/>
  <c r="BP109" i="5" s="1"/>
  <c r="BM101" i="5"/>
  <c r="BO101" i="5" s="1"/>
  <c r="BP101" i="5" s="1"/>
  <c r="BM93" i="5"/>
  <c r="BO93" i="5" s="1"/>
  <c r="BP93" i="5" s="1"/>
  <c r="BM85" i="5"/>
  <c r="BO85" i="5" s="1"/>
  <c r="BP85" i="5" s="1"/>
  <c r="BM77" i="5"/>
  <c r="BO77" i="5" s="1"/>
  <c r="BP77" i="5" s="1"/>
  <c r="BM120" i="5"/>
  <c r="BO120" i="5" s="1"/>
  <c r="BP120" i="5" s="1"/>
  <c r="BM108" i="5"/>
  <c r="BO108" i="5" s="1"/>
  <c r="BP108" i="5" s="1"/>
  <c r="BM100" i="5"/>
  <c r="BO100" i="5" s="1"/>
  <c r="BP100" i="5" s="1"/>
  <c r="BM92" i="5"/>
  <c r="BO92" i="5" s="1"/>
  <c r="BP92" i="5" s="1"/>
  <c r="BM84" i="5"/>
  <c r="BO84" i="5" s="1"/>
  <c r="BP84" i="5" s="1"/>
  <c r="BM76" i="5"/>
  <c r="BO76" i="5" s="1"/>
  <c r="BP76" i="5" s="1"/>
  <c r="BM68" i="5"/>
  <c r="BO68" i="5" s="1"/>
  <c r="BP68" i="5" s="1"/>
  <c r="BM60" i="5"/>
  <c r="BO60" i="5" s="1"/>
  <c r="BP60" i="5" s="1"/>
  <c r="BM164" i="5"/>
  <c r="BO164" i="5" s="1"/>
  <c r="BP164" i="5" s="1"/>
  <c r="BM148" i="5"/>
  <c r="BO148" i="5" s="1"/>
  <c r="BP148" i="5" s="1"/>
  <c r="BM118" i="5"/>
  <c r="BO118" i="5" s="1"/>
  <c r="BP118" i="5" s="1"/>
  <c r="BM114" i="5"/>
  <c r="BO114" i="5" s="1"/>
  <c r="BP114" i="5" s="1"/>
  <c r="BM106" i="5"/>
  <c r="BO106" i="5" s="1"/>
  <c r="BP106" i="5" s="1"/>
  <c r="BM98" i="5"/>
  <c r="BO98" i="5" s="1"/>
  <c r="BP98" i="5" s="1"/>
  <c r="BM90" i="5"/>
  <c r="BO90" i="5" s="1"/>
  <c r="BP90" i="5" s="1"/>
  <c r="BM82" i="5"/>
  <c r="BO82" i="5" s="1"/>
  <c r="BP82" i="5" s="1"/>
  <c r="BQ11" i="5"/>
  <c r="BS11" i="5" s="1"/>
  <c r="BM15" i="5"/>
  <c r="BO15" i="5" s="1"/>
  <c r="BU15" i="5"/>
  <c r="BW15" i="5" s="1"/>
  <c r="BQ19" i="5"/>
  <c r="BS19" i="5" s="1"/>
  <c r="BM23" i="5"/>
  <c r="BO23" i="5" s="1"/>
  <c r="BU23" i="5"/>
  <c r="BW23" i="5" s="1"/>
  <c r="BQ27" i="5"/>
  <c r="BS27" i="5" s="1"/>
  <c r="BM31" i="5"/>
  <c r="BO31" i="5" s="1"/>
  <c r="BU31" i="5"/>
  <c r="BW31" i="5" s="1"/>
  <c r="BQ35" i="5"/>
  <c r="BS35" i="5" s="1"/>
  <c r="BT35" i="5" s="1"/>
  <c r="BM39" i="5"/>
  <c r="BO39" i="5" s="1"/>
  <c r="BP39" i="5" s="1"/>
  <c r="BU39" i="5"/>
  <c r="BW39" i="5" s="1"/>
  <c r="BX39" i="5" s="1"/>
  <c r="BQ43" i="5"/>
  <c r="BS43" i="5" s="1"/>
  <c r="BT43" i="5" s="1"/>
  <c r="BM47" i="5"/>
  <c r="BO47" i="5" s="1"/>
  <c r="BP47" i="5" s="1"/>
  <c r="BU47" i="5"/>
  <c r="BW47" i="5" s="1"/>
  <c r="BX47" i="5" s="1"/>
  <c r="BQ51" i="5"/>
  <c r="BS51" i="5" s="1"/>
  <c r="BT51" i="5" s="1"/>
  <c r="BM55" i="5"/>
  <c r="BO55" i="5" s="1"/>
  <c r="BP55" i="5" s="1"/>
  <c r="BU55" i="5"/>
  <c r="BW55" i="5" s="1"/>
  <c r="BX55" i="5" s="1"/>
  <c r="CA59" i="5"/>
  <c r="CB59" i="5" s="1"/>
  <c r="BU69" i="5"/>
  <c r="BW69" i="5" s="1"/>
  <c r="BX69" i="5" s="1"/>
  <c r="BM75" i="5"/>
  <c r="BO75" i="5" s="1"/>
  <c r="BP75" i="5" s="1"/>
  <c r="BQ87" i="5"/>
  <c r="BS87" i="5" s="1"/>
  <c r="BT87" i="5" s="1"/>
  <c r="BW88" i="5"/>
  <c r="BX88" i="5" s="1"/>
  <c r="BW104" i="5"/>
  <c r="BX104" i="5" s="1"/>
  <c r="BQ221" i="5"/>
  <c r="BS221" i="5" s="1"/>
  <c r="BT221" i="5" s="1"/>
  <c r="BQ213" i="5"/>
  <c r="BS213" i="5" s="1"/>
  <c r="BT213" i="5" s="1"/>
  <c r="BQ205" i="5"/>
  <c r="BS205" i="5" s="1"/>
  <c r="BT205" i="5" s="1"/>
  <c r="BQ197" i="5"/>
  <c r="BS197" i="5" s="1"/>
  <c r="BT197" i="5" s="1"/>
  <c r="BQ189" i="5"/>
  <c r="BQ220" i="5"/>
  <c r="BS220" i="5" s="1"/>
  <c r="BT220" i="5" s="1"/>
  <c r="BQ212" i="5"/>
  <c r="BS212" i="5" s="1"/>
  <c r="BT212" i="5" s="1"/>
  <c r="BQ204" i="5"/>
  <c r="BS204" i="5" s="1"/>
  <c r="BT204" i="5" s="1"/>
  <c r="BQ196" i="5"/>
  <c r="BS196" i="5" s="1"/>
  <c r="BT196" i="5" s="1"/>
  <c r="BQ188" i="5"/>
  <c r="BS188" i="5" s="1"/>
  <c r="BT188" i="5" s="1"/>
  <c r="BQ219" i="5"/>
  <c r="BS219" i="5" s="1"/>
  <c r="BT219" i="5" s="1"/>
  <c r="BQ211" i="5"/>
  <c r="BS211" i="5" s="1"/>
  <c r="BT211" i="5" s="1"/>
  <c r="BQ203" i="5"/>
  <c r="BS203" i="5" s="1"/>
  <c r="BT203" i="5" s="1"/>
  <c r="BQ195" i="5"/>
  <c r="BS195" i="5" s="1"/>
  <c r="BT195" i="5" s="1"/>
  <c r="BQ187" i="5"/>
  <c r="BS187" i="5" s="1"/>
  <c r="BT187" i="5" s="1"/>
  <c r="BQ218" i="5"/>
  <c r="BS218" i="5" s="1"/>
  <c r="BT218" i="5" s="1"/>
  <c r="BQ210" i="5"/>
  <c r="BS210" i="5" s="1"/>
  <c r="BT210" i="5" s="1"/>
  <c r="BQ202" i="5"/>
  <c r="BS202" i="5" s="1"/>
  <c r="BT202" i="5" s="1"/>
  <c r="BQ194" i="5"/>
  <c r="BS194" i="5" s="1"/>
  <c r="BT194" i="5" s="1"/>
  <c r="BQ217" i="5"/>
  <c r="BS217" i="5" s="1"/>
  <c r="BT217" i="5" s="1"/>
  <c r="BQ209" i="5"/>
  <c r="BS209" i="5" s="1"/>
  <c r="BT209" i="5" s="1"/>
  <c r="BQ201" i="5"/>
  <c r="BS201" i="5" s="1"/>
  <c r="BT201" i="5" s="1"/>
  <c r="BQ193" i="5"/>
  <c r="BS193" i="5" s="1"/>
  <c r="BT193" i="5" s="1"/>
  <c r="BQ185" i="5"/>
  <c r="BS185" i="5" s="1"/>
  <c r="BT185" i="5" s="1"/>
  <c r="BQ216" i="5"/>
  <c r="BS216" i="5" s="1"/>
  <c r="BT216" i="5" s="1"/>
  <c r="BQ208" i="5"/>
  <c r="BS208" i="5" s="1"/>
  <c r="BT208" i="5" s="1"/>
  <c r="BQ200" i="5"/>
  <c r="BQ192" i="5"/>
  <c r="BS192" i="5" s="1"/>
  <c r="BT192" i="5" s="1"/>
  <c r="BQ184" i="5"/>
  <c r="BS184" i="5" s="1"/>
  <c r="BT184" i="5" s="1"/>
  <c r="BQ176" i="5"/>
  <c r="BS176" i="5" s="1"/>
  <c r="BT176" i="5" s="1"/>
  <c r="BQ215" i="5"/>
  <c r="BS215" i="5" s="1"/>
  <c r="BT215" i="5" s="1"/>
  <c r="BQ207" i="5"/>
  <c r="BS207" i="5" s="1"/>
  <c r="BT207" i="5" s="1"/>
  <c r="BQ199" i="5"/>
  <c r="BS199" i="5" s="1"/>
  <c r="BT199" i="5" s="1"/>
  <c r="BQ191" i="5"/>
  <c r="BS191" i="5" s="1"/>
  <c r="BT191" i="5" s="1"/>
  <c r="BQ183" i="5"/>
  <c r="BS183" i="5" s="1"/>
  <c r="BT183" i="5" s="1"/>
  <c r="BQ175" i="5"/>
  <c r="BS175" i="5" s="1"/>
  <c r="BT175" i="5" s="1"/>
  <c r="BQ214" i="5"/>
  <c r="BS214" i="5" s="1"/>
  <c r="BT214" i="5" s="1"/>
  <c r="BQ206" i="5"/>
  <c r="BS206" i="5" s="1"/>
  <c r="BT206" i="5" s="1"/>
  <c r="BQ198" i="5"/>
  <c r="BS198" i="5" s="1"/>
  <c r="BT198" i="5" s="1"/>
  <c r="BQ190" i="5"/>
  <c r="BS190" i="5" s="1"/>
  <c r="BT190" i="5" s="1"/>
  <c r="BQ182" i="5"/>
  <c r="BS182" i="5" s="1"/>
  <c r="BT182" i="5" s="1"/>
  <c r="BQ166" i="5"/>
  <c r="BS166" i="5" s="1"/>
  <c r="BT166" i="5" s="1"/>
  <c r="BQ158" i="5"/>
  <c r="BS158" i="5" s="1"/>
  <c r="BT158" i="5" s="1"/>
  <c r="BQ150" i="5"/>
  <c r="BS150" i="5" s="1"/>
  <c r="BT150" i="5" s="1"/>
  <c r="BQ142" i="5"/>
  <c r="BS142" i="5" s="1"/>
  <c r="BT142" i="5" s="1"/>
  <c r="BQ134" i="5"/>
  <c r="BS134" i="5" s="1"/>
  <c r="BT134" i="5" s="1"/>
  <c r="BQ126" i="5"/>
  <c r="BS126" i="5" s="1"/>
  <c r="BT126" i="5" s="1"/>
  <c r="BQ118" i="5"/>
  <c r="BS118" i="5" s="1"/>
  <c r="BT118" i="5" s="1"/>
  <c r="BQ186" i="5"/>
  <c r="BS186" i="5" s="1"/>
  <c r="BT186" i="5" s="1"/>
  <c r="BQ177" i="5"/>
  <c r="BS177" i="5" s="1"/>
  <c r="BT177" i="5" s="1"/>
  <c r="BQ165" i="5"/>
  <c r="BS165" i="5" s="1"/>
  <c r="BT165" i="5" s="1"/>
  <c r="BQ157" i="5"/>
  <c r="BS157" i="5" s="1"/>
  <c r="BT157" i="5" s="1"/>
  <c r="BQ149" i="5"/>
  <c r="BS149" i="5" s="1"/>
  <c r="BT149" i="5" s="1"/>
  <c r="BQ141" i="5"/>
  <c r="BS141" i="5" s="1"/>
  <c r="BT141" i="5" s="1"/>
  <c r="BQ133" i="5"/>
  <c r="BS133" i="5" s="1"/>
  <c r="BT133" i="5" s="1"/>
  <c r="BQ125" i="5"/>
  <c r="BS125" i="5" s="1"/>
  <c r="BT125" i="5" s="1"/>
  <c r="BQ180" i="5"/>
  <c r="BS180" i="5" s="1"/>
  <c r="BT180" i="5" s="1"/>
  <c r="BQ173" i="5"/>
  <c r="BS173" i="5" s="1"/>
  <c r="BT173" i="5" s="1"/>
  <c r="BQ172" i="5"/>
  <c r="BS172" i="5" s="1"/>
  <c r="BT172" i="5" s="1"/>
  <c r="BQ164" i="5"/>
  <c r="BS164" i="5" s="1"/>
  <c r="BT164" i="5" s="1"/>
  <c r="BQ156" i="5"/>
  <c r="BS156" i="5" s="1"/>
  <c r="BT156" i="5" s="1"/>
  <c r="BQ148" i="5"/>
  <c r="BS148" i="5" s="1"/>
  <c r="BT148" i="5" s="1"/>
  <c r="BQ140" i="5"/>
  <c r="BS140" i="5" s="1"/>
  <c r="BT140" i="5" s="1"/>
  <c r="BQ132" i="5"/>
  <c r="BS132" i="5" s="1"/>
  <c r="BT132" i="5" s="1"/>
  <c r="BQ124" i="5"/>
  <c r="BS124" i="5" s="1"/>
  <c r="BT124" i="5" s="1"/>
  <c r="BQ171" i="5"/>
  <c r="BS171" i="5" s="1"/>
  <c r="BT171" i="5" s="1"/>
  <c r="BQ163" i="5"/>
  <c r="BS163" i="5" s="1"/>
  <c r="BT163" i="5" s="1"/>
  <c r="BQ155" i="5"/>
  <c r="BS155" i="5" s="1"/>
  <c r="BT155" i="5" s="1"/>
  <c r="BQ147" i="5"/>
  <c r="BS147" i="5" s="1"/>
  <c r="BT147" i="5" s="1"/>
  <c r="BQ139" i="5"/>
  <c r="BS139" i="5" s="1"/>
  <c r="BT139" i="5" s="1"/>
  <c r="BQ131" i="5"/>
  <c r="BS131" i="5" s="1"/>
  <c r="BT131" i="5" s="1"/>
  <c r="BQ123" i="5"/>
  <c r="BS123" i="5" s="1"/>
  <c r="BT123" i="5" s="1"/>
  <c r="BQ178" i="5"/>
  <c r="BS178" i="5" s="1"/>
  <c r="BT178" i="5" s="1"/>
  <c r="BQ170" i="5"/>
  <c r="BS170" i="5" s="1"/>
  <c r="BT170" i="5" s="1"/>
  <c r="BQ162" i="5"/>
  <c r="BS162" i="5" s="1"/>
  <c r="BT162" i="5" s="1"/>
  <c r="BQ154" i="5"/>
  <c r="BS154" i="5" s="1"/>
  <c r="BT154" i="5" s="1"/>
  <c r="BQ146" i="5"/>
  <c r="BS146" i="5" s="1"/>
  <c r="BT146" i="5" s="1"/>
  <c r="BQ138" i="5"/>
  <c r="BS138" i="5" s="1"/>
  <c r="BT138" i="5" s="1"/>
  <c r="BQ130" i="5"/>
  <c r="BS130" i="5" s="1"/>
  <c r="BT130" i="5" s="1"/>
  <c r="BQ169" i="5"/>
  <c r="BS169" i="5" s="1"/>
  <c r="BT169" i="5" s="1"/>
  <c r="BQ161" i="5"/>
  <c r="BS161" i="5" s="1"/>
  <c r="BT161" i="5" s="1"/>
  <c r="BQ153" i="5"/>
  <c r="BS153" i="5" s="1"/>
  <c r="BT153" i="5" s="1"/>
  <c r="BQ145" i="5"/>
  <c r="BS145" i="5" s="1"/>
  <c r="BT145" i="5" s="1"/>
  <c r="BQ137" i="5"/>
  <c r="BS137" i="5" s="1"/>
  <c r="BT137" i="5" s="1"/>
  <c r="BQ129" i="5"/>
  <c r="BS129" i="5" s="1"/>
  <c r="BT129" i="5" s="1"/>
  <c r="BQ181" i="5"/>
  <c r="BS181" i="5" s="1"/>
  <c r="BT181" i="5" s="1"/>
  <c r="BQ179" i="5"/>
  <c r="BS179" i="5" s="1"/>
  <c r="BT179" i="5" s="1"/>
  <c r="BQ174" i="5"/>
  <c r="BS174" i="5" s="1"/>
  <c r="BT174" i="5" s="1"/>
  <c r="BQ167" i="5"/>
  <c r="BS167" i="5" s="1"/>
  <c r="BT167" i="5" s="1"/>
  <c r="BQ159" i="5"/>
  <c r="BS159" i="5" s="1"/>
  <c r="BT159" i="5" s="1"/>
  <c r="BQ151" i="5"/>
  <c r="BS151" i="5" s="1"/>
  <c r="BT151" i="5" s="1"/>
  <c r="BQ143" i="5"/>
  <c r="BS143" i="5" s="1"/>
  <c r="BT143" i="5" s="1"/>
  <c r="BQ135" i="5"/>
  <c r="BS135" i="5" s="1"/>
  <c r="BT135" i="5" s="1"/>
  <c r="BQ127" i="5"/>
  <c r="BS127" i="5" s="1"/>
  <c r="BT127" i="5" s="1"/>
  <c r="BQ128" i="5"/>
  <c r="BS128" i="5" s="1"/>
  <c r="BT128" i="5" s="1"/>
  <c r="BQ121" i="5"/>
  <c r="BS121" i="5" s="1"/>
  <c r="BT121" i="5" s="1"/>
  <c r="BQ109" i="5"/>
  <c r="BS109" i="5" s="1"/>
  <c r="BT109" i="5" s="1"/>
  <c r="BQ101" i="5"/>
  <c r="BS101" i="5" s="1"/>
  <c r="BT101" i="5" s="1"/>
  <c r="BQ93" i="5"/>
  <c r="BS93" i="5" s="1"/>
  <c r="BT93" i="5" s="1"/>
  <c r="BQ85" i="5"/>
  <c r="BS85" i="5" s="1"/>
  <c r="BT85" i="5" s="1"/>
  <c r="BQ77" i="5"/>
  <c r="BS77" i="5" s="1"/>
  <c r="BT77" i="5" s="1"/>
  <c r="BQ69" i="5"/>
  <c r="BS69" i="5" s="1"/>
  <c r="BT69" i="5" s="1"/>
  <c r="BQ61" i="5"/>
  <c r="BS61" i="5" s="1"/>
  <c r="BT61" i="5" s="1"/>
  <c r="BQ168" i="5"/>
  <c r="BS168" i="5" s="1"/>
  <c r="BT168" i="5" s="1"/>
  <c r="BQ117" i="5"/>
  <c r="BS117" i="5" s="1"/>
  <c r="BT117" i="5" s="1"/>
  <c r="BQ108" i="5"/>
  <c r="BS108" i="5" s="1"/>
  <c r="BT108" i="5" s="1"/>
  <c r="BQ100" i="5"/>
  <c r="BS100" i="5" s="1"/>
  <c r="BT100" i="5" s="1"/>
  <c r="BQ92" i="5"/>
  <c r="BS92" i="5" s="1"/>
  <c r="BT92" i="5" s="1"/>
  <c r="BQ84" i="5"/>
  <c r="BS84" i="5" s="1"/>
  <c r="BT84" i="5" s="1"/>
  <c r="BQ76" i="5"/>
  <c r="BS76" i="5" s="1"/>
  <c r="BT76" i="5" s="1"/>
  <c r="BQ68" i="5"/>
  <c r="BS68" i="5" s="1"/>
  <c r="BT68" i="5" s="1"/>
  <c r="BQ60" i="5"/>
  <c r="BS60" i="5" s="1"/>
  <c r="BT60" i="5" s="1"/>
  <c r="BQ136" i="5"/>
  <c r="BS136" i="5" s="1"/>
  <c r="BT136" i="5" s="1"/>
  <c r="BQ120" i="5"/>
  <c r="BS120" i="5" s="1"/>
  <c r="BT120" i="5" s="1"/>
  <c r="BQ115" i="5"/>
  <c r="BS115" i="5" s="1"/>
  <c r="BT115" i="5" s="1"/>
  <c r="BQ107" i="5"/>
  <c r="BS107" i="5" s="1"/>
  <c r="BT107" i="5" s="1"/>
  <c r="BQ99" i="5"/>
  <c r="BS99" i="5" s="1"/>
  <c r="BT99" i="5" s="1"/>
  <c r="BQ91" i="5"/>
  <c r="BS91" i="5" s="1"/>
  <c r="BT91" i="5" s="1"/>
  <c r="BQ83" i="5"/>
  <c r="BS83" i="5" s="1"/>
  <c r="BT83" i="5" s="1"/>
  <c r="BQ75" i="5"/>
  <c r="BS75" i="5" s="1"/>
  <c r="BT75" i="5" s="1"/>
  <c r="BQ160" i="5"/>
  <c r="BS160" i="5" s="1"/>
  <c r="BT160" i="5" s="1"/>
  <c r="BQ114" i="5"/>
  <c r="BS114" i="5" s="1"/>
  <c r="BT114" i="5" s="1"/>
  <c r="BQ106" i="5"/>
  <c r="BS106" i="5" s="1"/>
  <c r="BT106" i="5" s="1"/>
  <c r="BQ98" i="5"/>
  <c r="BS98" i="5" s="1"/>
  <c r="BT98" i="5" s="1"/>
  <c r="BQ90" i="5"/>
  <c r="BS90" i="5" s="1"/>
  <c r="BT90" i="5" s="1"/>
  <c r="BQ82" i="5"/>
  <c r="BS82" i="5" s="1"/>
  <c r="BT82" i="5" s="1"/>
  <c r="BQ74" i="5"/>
  <c r="BS74" i="5" s="1"/>
  <c r="BT74" i="5" s="1"/>
  <c r="BQ66" i="5"/>
  <c r="BS66" i="5" s="1"/>
  <c r="BT66" i="5" s="1"/>
  <c r="BQ58" i="5"/>
  <c r="BS58" i="5" s="1"/>
  <c r="BT58" i="5" s="1"/>
  <c r="BQ144" i="5"/>
  <c r="BS144" i="5" s="1"/>
  <c r="BT144" i="5" s="1"/>
  <c r="BQ113" i="5"/>
  <c r="BS113" i="5" s="1"/>
  <c r="BT113" i="5" s="1"/>
  <c r="BQ105" i="5"/>
  <c r="BS105" i="5" s="1"/>
  <c r="BT105" i="5" s="1"/>
  <c r="BQ97" i="5"/>
  <c r="BS97" i="5" s="1"/>
  <c r="BT97" i="5" s="1"/>
  <c r="BQ89" i="5"/>
  <c r="BS89" i="5" s="1"/>
  <c r="BT89" i="5" s="1"/>
  <c r="BQ81" i="5"/>
  <c r="BS81" i="5" s="1"/>
  <c r="BT81" i="5" s="1"/>
  <c r="BQ116" i="5"/>
  <c r="BS116" i="5" s="1"/>
  <c r="BT116" i="5" s="1"/>
  <c r="BQ112" i="5"/>
  <c r="BS112" i="5" s="1"/>
  <c r="BT112" i="5" s="1"/>
  <c r="BQ104" i="5"/>
  <c r="BS104" i="5" s="1"/>
  <c r="BT104" i="5" s="1"/>
  <c r="BQ96" i="5"/>
  <c r="BS96" i="5" s="1"/>
  <c r="BT96" i="5" s="1"/>
  <c r="BQ88" i="5"/>
  <c r="BS88" i="5" s="1"/>
  <c r="BT88" i="5" s="1"/>
  <c r="BQ80" i="5"/>
  <c r="BS80" i="5" s="1"/>
  <c r="BT80" i="5" s="1"/>
  <c r="BQ72" i="5"/>
  <c r="BS72" i="5" s="1"/>
  <c r="BT72" i="5" s="1"/>
  <c r="BQ64" i="5"/>
  <c r="BS64" i="5" s="1"/>
  <c r="BT64" i="5" s="1"/>
  <c r="BQ122" i="5"/>
  <c r="BS122" i="5" s="1"/>
  <c r="BT122" i="5" s="1"/>
  <c r="BQ152" i="5"/>
  <c r="BS152" i="5" s="1"/>
  <c r="BT152" i="5" s="1"/>
  <c r="BQ119" i="5"/>
  <c r="BS119" i="5" s="1"/>
  <c r="BT119" i="5" s="1"/>
  <c r="BQ110" i="5"/>
  <c r="BS110" i="5" s="1"/>
  <c r="BT110" i="5" s="1"/>
  <c r="BQ102" i="5"/>
  <c r="BS102" i="5" s="1"/>
  <c r="BT102" i="5" s="1"/>
  <c r="BQ94" i="5"/>
  <c r="BS94" i="5" s="1"/>
  <c r="BT94" i="5" s="1"/>
  <c r="BQ86" i="5"/>
  <c r="BS86" i="5" s="1"/>
  <c r="BT86" i="5" s="1"/>
  <c r="BQ78" i="5"/>
  <c r="BS78" i="5" s="1"/>
  <c r="BT78" i="5" s="1"/>
  <c r="BM8" i="5"/>
  <c r="BO8" i="5" s="1"/>
  <c r="BU8" i="5"/>
  <c r="BW8" i="5" s="1"/>
  <c r="BQ12" i="5"/>
  <c r="BS12" i="5" s="1"/>
  <c r="BM16" i="5"/>
  <c r="BO16" i="5" s="1"/>
  <c r="BU16" i="5"/>
  <c r="BW16" i="5" s="1"/>
  <c r="BQ20" i="5"/>
  <c r="BS20" i="5" s="1"/>
  <c r="BM24" i="5"/>
  <c r="BO24" i="5" s="1"/>
  <c r="BU24" i="5"/>
  <c r="BW24" i="5" s="1"/>
  <c r="BQ28" i="5"/>
  <c r="BS28" i="5" s="1"/>
  <c r="BM32" i="5"/>
  <c r="BO32" i="5" s="1"/>
  <c r="BU32" i="5"/>
  <c r="BW32" i="5" s="1"/>
  <c r="BQ36" i="5"/>
  <c r="BS36" i="5" s="1"/>
  <c r="BT36" i="5" s="1"/>
  <c r="BM40" i="5"/>
  <c r="BO40" i="5" s="1"/>
  <c r="BP40" i="5" s="1"/>
  <c r="BU40" i="5"/>
  <c r="BW40" i="5" s="1"/>
  <c r="BX40" i="5" s="1"/>
  <c r="BQ44" i="5"/>
  <c r="BS44" i="5" s="1"/>
  <c r="BT44" i="5" s="1"/>
  <c r="BM48" i="5"/>
  <c r="BO48" i="5" s="1"/>
  <c r="BP48" i="5" s="1"/>
  <c r="BU48" i="5"/>
  <c r="BW48" i="5" s="1"/>
  <c r="BX48" i="5" s="1"/>
  <c r="BQ52" i="5"/>
  <c r="BS52" i="5" s="1"/>
  <c r="BT52" i="5" s="1"/>
  <c r="BM56" i="5"/>
  <c r="BO56" i="5" s="1"/>
  <c r="BP56" i="5" s="1"/>
  <c r="BU56" i="5"/>
  <c r="BW56" i="5" s="1"/>
  <c r="BX56" i="5" s="1"/>
  <c r="BM58" i="5"/>
  <c r="BO58" i="5" s="1"/>
  <c r="BP58" i="5" s="1"/>
  <c r="BQ59" i="5"/>
  <c r="BS59" i="5" s="1"/>
  <c r="BT59" i="5" s="1"/>
  <c r="CA62" i="5"/>
  <c r="CB62" i="5" s="1"/>
  <c r="BW71" i="5"/>
  <c r="BX71" i="5" s="1"/>
  <c r="BU75" i="5"/>
  <c r="BW75" i="5" s="1"/>
  <c r="BX75" i="5" s="1"/>
  <c r="BM91" i="5"/>
  <c r="BO91" i="5" s="1"/>
  <c r="BP91" i="5" s="1"/>
  <c r="BW106" i="5"/>
  <c r="BX106" i="5" s="1"/>
  <c r="BM107" i="5"/>
  <c r="BO107" i="5" s="1"/>
  <c r="BP107" i="5" s="1"/>
  <c r="BQ37" i="5"/>
  <c r="BS37" i="5" s="1"/>
  <c r="BT37" i="5" s="1"/>
  <c r="BM41" i="5"/>
  <c r="BO41" i="5" s="1"/>
  <c r="BP41" i="5" s="1"/>
  <c r="BU41" i="5"/>
  <c r="BW41" i="5" s="1"/>
  <c r="BX41" i="5" s="1"/>
  <c r="BQ45" i="5"/>
  <c r="BS45" i="5" s="1"/>
  <c r="BT45" i="5" s="1"/>
  <c r="BM49" i="5"/>
  <c r="BO49" i="5" s="1"/>
  <c r="BP49" i="5" s="1"/>
  <c r="BU49" i="5"/>
  <c r="BW49" i="5" s="1"/>
  <c r="BX49" i="5" s="1"/>
  <c r="BQ53" i="5"/>
  <c r="BS53" i="5" s="1"/>
  <c r="BT53" i="5" s="1"/>
  <c r="BM57" i="5"/>
  <c r="BO57" i="5" s="1"/>
  <c r="BP57" i="5" s="1"/>
  <c r="BU57" i="5"/>
  <c r="BW57" i="5" s="1"/>
  <c r="BX57" i="5" s="1"/>
  <c r="BM61" i="5"/>
  <c r="BO61" i="5" s="1"/>
  <c r="BP61" i="5" s="1"/>
  <c r="BM63" i="5"/>
  <c r="BO63" i="5" s="1"/>
  <c r="BP63" i="5" s="1"/>
  <c r="BM66" i="5"/>
  <c r="BO66" i="5" s="1"/>
  <c r="BP66" i="5" s="1"/>
  <c r="BM67" i="5"/>
  <c r="BO67" i="5" s="1"/>
  <c r="BP67" i="5" s="1"/>
  <c r="BU91" i="5"/>
  <c r="BW91" i="5" s="1"/>
  <c r="BX91" i="5" s="1"/>
  <c r="BO99" i="5"/>
  <c r="BP99" i="5" s="1"/>
  <c r="BW101" i="5"/>
  <c r="BX101" i="5" s="1"/>
  <c r="BU107" i="5"/>
  <c r="BW107" i="5" s="1"/>
  <c r="BX107" i="5" s="1"/>
  <c r="BU117" i="5"/>
  <c r="BW117" i="5" s="1"/>
  <c r="BX117" i="5" s="1"/>
  <c r="BW144" i="5"/>
  <c r="BX144" i="5" s="1"/>
  <c r="BW159" i="5"/>
  <c r="BX159" i="5" s="1"/>
  <c r="BO139" i="5"/>
  <c r="BP139" i="5" s="1"/>
  <c r="BW160" i="5"/>
  <c r="BX160" i="5" s="1"/>
  <c r="BO168" i="5"/>
  <c r="BP168" i="5" s="1"/>
  <c r="BW175" i="5"/>
  <c r="BX175" i="5" s="1"/>
  <c r="BS200" i="5"/>
  <c r="BT200" i="5" s="1"/>
  <c r="CA128" i="5"/>
  <c r="CB128" i="5" s="1"/>
  <c r="BO158" i="5"/>
  <c r="BP158" i="5" s="1"/>
  <c r="BW165" i="5"/>
  <c r="BX165" i="5" s="1"/>
  <c r="BW158" i="5"/>
  <c r="BX158" i="5" s="1"/>
  <c r="BW155" i="5"/>
  <c r="BX155" i="5" s="1"/>
  <c r="CA144" i="5"/>
  <c r="CB144" i="5" s="1"/>
  <c r="CA178" i="5"/>
  <c r="CB178" i="5" s="1"/>
  <c r="CA160" i="5"/>
  <c r="CB160" i="5" s="1"/>
  <c r="BW187" i="5"/>
  <c r="BX187" i="5" s="1"/>
  <c r="BW215" i="5"/>
  <c r="BX215" i="5" s="1"/>
  <c r="BO217" i="5"/>
  <c r="BP217" i="5" s="1"/>
  <c r="BS189" i="5"/>
  <c r="BT189" i="5" s="1"/>
  <c r="BW190" i="5"/>
  <c r="BX190" i="5" s="1"/>
  <c r="CA173" i="5"/>
  <c r="CB173" i="5" s="1"/>
  <c r="CA182" i="5"/>
  <c r="CB182" i="5" s="1"/>
  <c r="BO212" i="5"/>
  <c r="BP212" i="5" s="1"/>
  <c r="BO195" i="5"/>
  <c r="BP195" i="5" s="1"/>
  <c r="BW209" i="5"/>
  <c r="BX209" i="5" s="1"/>
  <c r="BW201" i="5"/>
  <c r="BX201" i="5" s="1"/>
  <c r="I10" i="11"/>
  <c r="I10" i="9"/>
  <c r="R10" i="9"/>
  <c r="R10" i="11"/>
  <c r="J10" i="9"/>
  <c r="J10" i="11"/>
  <c r="S10" i="9"/>
  <c r="S10" i="11"/>
  <c r="K10" i="9"/>
  <c r="K10" i="11"/>
  <c r="M10" i="9"/>
  <c r="M10" i="11"/>
  <c r="N10" i="9"/>
  <c r="N10" i="11"/>
  <c r="O10" i="9"/>
  <c r="O10" i="11"/>
  <c r="L10" i="9"/>
  <c r="L10" i="11"/>
  <c r="P10" i="11"/>
  <c r="P10" i="9"/>
  <c r="B26" i="11"/>
  <c r="B21" i="11"/>
  <c r="B16" i="11"/>
  <c r="B10" i="11"/>
  <c r="Q10" i="11"/>
  <c r="Q10" i="9"/>
  <c r="G51" i="7"/>
  <c r="O51" i="7"/>
  <c r="F29" i="8"/>
  <c r="G32" i="8"/>
  <c r="H51" i="7"/>
  <c r="P51" i="7"/>
  <c r="G29" i="8"/>
  <c r="E31" i="8"/>
  <c r="C6" i="9"/>
  <c r="I51" i="7"/>
  <c r="Q51" i="7"/>
  <c r="J51" i="7"/>
  <c r="R51" i="7"/>
  <c r="C2" i="11"/>
  <c r="D24" i="7"/>
  <c r="B33" i="10"/>
  <c r="D51" i="7"/>
  <c r="L51" i="7"/>
  <c r="C2" i="9"/>
  <c r="E51" i="7"/>
  <c r="D29" i="8"/>
  <c r="F21" i="11" l="1"/>
  <c r="G21" i="11"/>
  <c r="D21" i="11"/>
  <c r="H21" i="11"/>
  <c r="E21" i="11"/>
  <c r="BK44" i="5"/>
  <c r="BL44" i="5" s="1"/>
  <c r="BK35" i="5"/>
  <c r="BL35" i="5" s="1"/>
  <c r="BL222" i="5" s="1"/>
  <c r="BL223" i="5" s="1"/>
  <c r="BK42" i="5"/>
  <c r="BL42" i="5" s="1"/>
  <c r="BK43" i="5"/>
  <c r="BL43" i="5" s="1"/>
  <c r="BK39" i="5"/>
  <c r="BL39" i="5" s="1"/>
  <c r="BK41" i="5"/>
  <c r="BL41" i="5" s="1"/>
  <c r="BK36" i="5"/>
  <c r="BL36" i="5" s="1"/>
  <c r="BK34" i="5"/>
  <c r="CB222" i="5"/>
  <c r="B23" i="9"/>
  <c r="B16" i="9"/>
  <c r="BX222" i="5"/>
  <c r="BX223" i="5" s="1"/>
  <c r="D15" i="8" s="1"/>
  <c r="E15" i="8" s="1"/>
  <c r="BP222" i="5"/>
  <c r="BP223" i="5" s="1"/>
  <c r="D13" i="8" s="1"/>
  <c r="E13" i="8" s="1"/>
  <c r="C23" i="9"/>
  <c r="C16" i="9"/>
  <c r="C10" i="9"/>
  <c r="BT222" i="5"/>
  <c r="BT223" i="5" s="1"/>
  <c r="D14" i="8" s="1"/>
  <c r="E14" i="8" s="1"/>
  <c r="C26" i="11"/>
  <c r="C21" i="11"/>
  <c r="C16" i="11"/>
  <c r="C10" i="11"/>
  <c r="D22" i="7" l="1"/>
  <c r="C25" i="2"/>
  <c r="D12" i="8"/>
  <c r="E12" i="8" s="1"/>
  <c r="D25" i="2"/>
  <c r="E25" i="2"/>
  <c r="D21" i="7"/>
  <c r="E21" i="7" s="1"/>
  <c r="D23" i="7"/>
  <c r="E23" i="7" s="1"/>
  <c r="D20" i="7"/>
  <c r="N52" i="7" l="1"/>
  <c r="F52" i="7"/>
  <c r="M52" i="7"/>
  <c r="E52" i="7"/>
  <c r="L52" i="7"/>
  <c r="D52" i="7"/>
  <c r="S52" i="7"/>
  <c r="K52" i="7"/>
  <c r="R52" i="7"/>
  <c r="J52" i="7"/>
  <c r="Q52" i="7"/>
  <c r="I52" i="7"/>
  <c r="P52" i="7"/>
  <c r="H52" i="7"/>
  <c r="O52" i="7"/>
  <c r="G52" i="7"/>
  <c r="C35" i="8"/>
  <c r="C39" i="8" s="1"/>
  <c r="G35" i="8"/>
  <c r="G39" i="8" s="1"/>
  <c r="F35" i="8"/>
  <c r="F33" i="8" s="1"/>
  <c r="E35" i="8"/>
  <c r="D35" i="8"/>
  <c r="D33" i="8" s="1"/>
  <c r="B25" i="2"/>
  <c r="N57" i="7"/>
  <c r="N54" i="7" s="1"/>
  <c r="N61" i="7" s="1"/>
  <c r="F57" i="7"/>
  <c r="F54" i="7" s="1"/>
  <c r="F61" i="7" s="1"/>
  <c r="N50" i="7"/>
  <c r="F50" i="7"/>
  <c r="M57" i="7"/>
  <c r="M54" i="7" s="1"/>
  <c r="M61" i="7" s="1"/>
  <c r="E57" i="7"/>
  <c r="E54" i="7" s="1"/>
  <c r="E61" i="7" s="1"/>
  <c r="M50" i="7"/>
  <c r="E50" i="7"/>
  <c r="L57" i="7"/>
  <c r="L54" i="7" s="1"/>
  <c r="L61" i="7" s="1"/>
  <c r="D57" i="7"/>
  <c r="D54" i="7" s="1"/>
  <c r="D61" i="7" s="1"/>
  <c r="L50" i="7"/>
  <c r="D50" i="7"/>
  <c r="S57" i="7"/>
  <c r="S54" i="7" s="1"/>
  <c r="S61" i="7" s="1"/>
  <c r="K57" i="7"/>
  <c r="K54" i="7" s="1"/>
  <c r="K61" i="7" s="1"/>
  <c r="S50" i="7"/>
  <c r="K50" i="7"/>
  <c r="R57" i="7"/>
  <c r="R54" i="7" s="1"/>
  <c r="R61" i="7" s="1"/>
  <c r="J57" i="7"/>
  <c r="J54" i="7" s="1"/>
  <c r="J61" i="7" s="1"/>
  <c r="R50" i="7"/>
  <c r="J50" i="7"/>
  <c r="Q57" i="7"/>
  <c r="Q54" i="7" s="1"/>
  <c r="Q61" i="7" s="1"/>
  <c r="I57" i="7"/>
  <c r="I54" i="7" s="1"/>
  <c r="I61" i="7" s="1"/>
  <c r="Q50" i="7"/>
  <c r="I50" i="7"/>
  <c r="P57" i="7"/>
  <c r="P54" i="7" s="1"/>
  <c r="P61" i="7" s="1"/>
  <c r="H57" i="7"/>
  <c r="H54" i="7" s="1"/>
  <c r="H61" i="7" s="1"/>
  <c r="P50" i="7"/>
  <c r="H50" i="7"/>
  <c r="O57" i="7"/>
  <c r="O54" i="7" s="1"/>
  <c r="O61" i="7" s="1"/>
  <c r="G57" i="7"/>
  <c r="G54" i="7" s="1"/>
  <c r="G61" i="7" s="1"/>
  <c r="O50" i="7"/>
  <c r="G50" i="7"/>
  <c r="D39" i="8" l="1"/>
  <c r="G33" i="8"/>
  <c r="F30" i="2" s="1"/>
  <c r="C33" i="8"/>
  <c r="B30" i="2" s="1"/>
  <c r="S16" i="9"/>
  <c r="S23" i="9" s="1"/>
  <c r="S16" i="11"/>
  <c r="S26" i="11" s="1"/>
  <c r="Q16" i="9"/>
  <c r="Q23" i="9" s="1"/>
  <c r="Q16" i="11"/>
  <c r="Q26" i="11" s="1"/>
  <c r="J16" i="9"/>
  <c r="J23" i="9" s="1"/>
  <c r="J16" i="11"/>
  <c r="J26" i="11" s="1"/>
  <c r="F16" i="11"/>
  <c r="F16" i="9"/>
  <c r="M16" i="9"/>
  <c r="M23" i="9" s="1"/>
  <c r="M16" i="11"/>
  <c r="M26" i="11" s="1"/>
  <c r="I16" i="9"/>
  <c r="I23" i="9" s="1"/>
  <c r="I16" i="11"/>
  <c r="I26" i="11" s="1"/>
  <c r="E16" i="9"/>
  <c r="E16" i="11"/>
  <c r="O16" i="11"/>
  <c r="O26" i="11" s="1"/>
  <c r="O16" i="9"/>
  <c r="O23" i="9" s="1"/>
  <c r="C30" i="2"/>
  <c r="F40" i="8"/>
  <c r="F41" i="8"/>
  <c r="F42" i="8"/>
  <c r="E41" i="8"/>
  <c r="E40" i="8"/>
  <c r="E42" i="8"/>
  <c r="G40" i="8"/>
  <c r="G41" i="8"/>
  <c r="G42" i="8"/>
  <c r="D16" i="9"/>
  <c r="D16" i="11"/>
  <c r="E33" i="8"/>
  <c r="N16" i="11"/>
  <c r="N26" i="11" s="1"/>
  <c r="N16" i="9"/>
  <c r="N23" i="9" s="1"/>
  <c r="L16" i="9"/>
  <c r="L23" i="9" s="1"/>
  <c r="L16" i="11"/>
  <c r="L26" i="11" s="1"/>
  <c r="E30" i="2"/>
  <c r="R16" i="9"/>
  <c r="R23" i="9" s="1"/>
  <c r="R16" i="11"/>
  <c r="R26" i="11" s="1"/>
  <c r="P16" i="9"/>
  <c r="P23" i="9" s="1"/>
  <c r="P16" i="11"/>
  <c r="P26" i="11" s="1"/>
  <c r="K16" i="9"/>
  <c r="K23" i="9" s="1"/>
  <c r="K16" i="11"/>
  <c r="K26" i="11" s="1"/>
  <c r="E39" i="8"/>
  <c r="F39" i="8"/>
  <c r="H16" i="9"/>
  <c r="H16" i="11"/>
  <c r="G16" i="11"/>
  <c r="G16" i="9"/>
  <c r="D42" i="8"/>
  <c r="D41" i="8"/>
  <c r="D40" i="8"/>
  <c r="C41" i="8"/>
  <c r="C42" i="8"/>
  <c r="C40" i="8"/>
  <c r="H10" i="9" l="1"/>
  <c r="H23" i="9" s="1"/>
  <c r="D43" i="8"/>
  <c r="G43" i="8"/>
  <c r="D10" i="9"/>
  <c r="D23" i="9" s="1"/>
  <c r="C43" i="8"/>
  <c r="E43" i="8"/>
  <c r="F43" i="8"/>
  <c r="D30" i="2"/>
  <c r="E10" i="9"/>
  <c r="E23" i="9" s="1"/>
  <c r="E10" i="11"/>
  <c r="E26" i="11" s="1"/>
  <c r="G10" i="9"/>
  <c r="G23" i="9" s="1"/>
  <c r="G10" i="11"/>
  <c r="G26" i="11" s="1"/>
  <c r="H10" i="11" l="1"/>
  <c r="H26" i="11" s="1"/>
  <c r="D10" i="11"/>
  <c r="D26" i="11" s="1"/>
  <c r="F10" i="9"/>
  <c r="F23" i="9" s="1"/>
  <c r="F10" i="11"/>
  <c r="F26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ID#AAABWOK1Pts
Author    (2024-10-01 11:10:15)
[Threaded comment]
Your version of Excel allows you to read this threaded comment; however, any edits to it will get removed if the file is opened in a newer version of Excel. Learn more: https://go.microsoft.com/fwlink/?linkid=870924
Comment:
    Please enter max mark in this row</t>
        </r>
      </text>
    </comment>
    <comment ref="X7" authorId="0" shapeId="0" xr:uid="{39964BE6-0BAB-4B4F-81EC-62ECEE0D5043}">
      <text>
        <r>
          <rPr>
            <sz val="11"/>
            <color theme="1"/>
            <rFont val="Calibri"/>
            <scheme val="minor"/>
          </rPr>
          <t>======
ID#AAABWOK1Ptw
Author    (2024-10-01 11:10:15)
[Threaded comment]
Your version of Excel allows you to read this threaded comment; however, any edits to it will get removed if the file is opened in a newer version of Excel. Learn more: https://go.microsoft.com/fwlink/?linkid=870924
Comment:
    Please enter max mark in this row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sJJvrJw49gFfK/mCZW+D57aW1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0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ID#AAABWOK1Pt0
Author    (2024-10-01 11:10:15)
[Threaded comment]
Your version of Excel allows you to read this threaded comment; however, any edits to it will get removed if the file is opened in a newer version of Excel. Learn more: https://go.microsoft.com/fwlink/?linkid=870924
Comment:
    Please enter these scores based on the graing scale provided in above table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/u34RsuKg6t2XYlFhkHJEqgZIiw=="/>
    </ext>
  </extLst>
</comments>
</file>

<file path=xl/sharedStrings.xml><?xml version="1.0" encoding="utf-8"?>
<sst xmlns="http://schemas.openxmlformats.org/spreadsheetml/2006/main" count="700" uniqueCount="193">
  <si>
    <t>Sl. No.</t>
  </si>
  <si>
    <t>Assessment tool</t>
  </si>
  <si>
    <t>Marks</t>
  </si>
  <si>
    <t>Question 1</t>
  </si>
  <si>
    <t>Question 2</t>
  </si>
  <si>
    <t>Question 3</t>
  </si>
  <si>
    <t>Question 4</t>
  </si>
  <si>
    <t>Question 5</t>
  </si>
  <si>
    <t>Question 6</t>
  </si>
  <si>
    <t>TOTAL</t>
  </si>
  <si>
    <t xml:space="preserve">Test I </t>
  </si>
  <si>
    <t>CO1</t>
  </si>
  <si>
    <t>CO2</t>
  </si>
  <si>
    <t>Question wise marks</t>
  </si>
  <si>
    <t>Test II</t>
  </si>
  <si>
    <t>CO3</t>
  </si>
  <si>
    <t>CO4</t>
  </si>
  <si>
    <t>Assignment 1</t>
  </si>
  <si>
    <t>Assignment 2</t>
  </si>
  <si>
    <t>Assignments</t>
  </si>
  <si>
    <t>CO5</t>
  </si>
  <si>
    <t>Assignment wise marks</t>
  </si>
  <si>
    <t>Question 1,2,3</t>
  </si>
  <si>
    <t>Question 4,5,6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</si>
  <si>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</si>
  <si>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</si>
  <si>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</si>
  <si>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</si>
  <si>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</si>
  <si>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</si>
  <si>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</si>
  <si>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</si>
  <si>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</si>
  <si>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</si>
  <si>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Course Code &amp; Title:</t>
  </si>
  <si>
    <t>Programme:</t>
  </si>
  <si>
    <t>Semester:</t>
  </si>
  <si>
    <t>CO - PO Mapping</t>
  </si>
  <si>
    <t>Course Outcomes</t>
  </si>
  <si>
    <t>PO1</t>
  </si>
  <si>
    <t>PO2</t>
  </si>
  <si>
    <t>PO3</t>
  </si>
  <si>
    <t>PO4</t>
  </si>
  <si>
    <t>PO5</t>
  </si>
  <si>
    <t>CO - Wise Mark Distribution</t>
  </si>
  <si>
    <t>Interim Assessment</t>
  </si>
  <si>
    <t>End Semester Examination</t>
  </si>
  <si>
    <t>Definition of CO Attainment Levels</t>
  </si>
  <si>
    <t>Attainment Level</t>
  </si>
  <si>
    <t>% of Students Achieving Target</t>
  </si>
  <si>
    <t xml:space="preserve">With a linear variation of attainment level from 3 to 2 and 2 to 1 corresponding to the variation in the % of students achieving target from 85 to 50 and 50 to 30 respectively. </t>
  </si>
  <si>
    <t>CO Attainment</t>
  </si>
  <si>
    <t>Direct Attainment of PO:</t>
  </si>
  <si>
    <t>Direct Attainment</t>
  </si>
  <si>
    <t>Course Name :</t>
  </si>
  <si>
    <t>Colour Coding</t>
  </si>
  <si>
    <t>Course Code :</t>
  </si>
  <si>
    <t>Data to be entered</t>
  </si>
  <si>
    <t>Academic Year:</t>
  </si>
  <si>
    <t>Data calculated</t>
  </si>
  <si>
    <t>Semester :</t>
  </si>
  <si>
    <t>Specialization (for M. Tech):</t>
  </si>
  <si>
    <t>Course Year:</t>
  </si>
  <si>
    <t>Course Semester :</t>
  </si>
  <si>
    <t>Credits :</t>
  </si>
  <si>
    <t>Faculty :</t>
  </si>
  <si>
    <t>CO-PO MAPPING in terms of grading scores (3,2 and 1)</t>
  </si>
  <si>
    <t>CO-PO Mapping</t>
  </si>
  <si>
    <t>Evaluation Policy (in percentage)</t>
  </si>
  <si>
    <t>Interim Test</t>
  </si>
  <si>
    <t>End Exam</t>
  </si>
  <si>
    <t>Continuous Evaluation</t>
  </si>
  <si>
    <t>Any Other</t>
  </si>
  <si>
    <t>Total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</si>
  <si>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</si>
  <si>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</si>
  <si>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</si>
  <si>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</si>
  <si>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</si>
  <si>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</si>
  <si>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</si>
  <si>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</si>
  <si>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</si>
  <si>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</si>
  <si>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PSO4</t>
  </si>
  <si>
    <t xml:space="preserve">PO AND CO  GRADING SCALE </t>
  </si>
  <si>
    <t>Strongly Related (H)</t>
  </si>
  <si>
    <t>Moderately  Related (M)</t>
  </si>
  <si>
    <t>Related (L)</t>
  </si>
  <si>
    <r>
      <rPr>
        <b/>
        <sz val="12"/>
        <color rgb="FF000000"/>
        <rFont val="Times New Roman"/>
      </rPr>
      <t>No relation (</t>
    </r>
    <r>
      <rPr>
        <b/>
        <sz val="12"/>
        <color rgb="FFFF0000"/>
        <rFont val="Times New Roman"/>
      </rPr>
      <t>Blank Cells</t>
    </r>
    <r>
      <rPr>
        <b/>
        <sz val="12"/>
        <color rgb="FF000000"/>
        <rFont val="Times New Roman"/>
      </rPr>
      <t>)</t>
    </r>
  </si>
  <si>
    <t>CO2: Target Score</t>
  </si>
  <si>
    <t>CO3: Target Score</t>
  </si>
  <si>
    <t>CO4: Target Score</t>
  </si>
  <si>
    <t>CO5: Target Score</t>
  </si>
  <si>
    <t>T1Q1</t>
  </si>
  <si>
    <t>T1Q2</t>
  </si>
  <si>
    <t>T1Q3</t>
  </si>
  <si>
    <t>T1Q7</t>
  </si>
  <si>
    <t>A1</t>
  </si>
  <si>
    <t>T1Q4</t>
  </si>
  <si>
    <t>T1Q5</t>
  </si>
  <si>
    <t>A3</t>
  </si>
  <si>
    <t>A4</t>
  </si>
  <si>
    <t>T1Q6</t>
  </si>
  <si>
    <t>A2</t>
  </si>
  <si>
    <t>Total marks</t>
  </si>
  <si>
    <t>Marks attained</t>
  </si>
  <si>
    <t>% Marks</t>
  </si>
  <si>
    <t>Attained Status</t>
  </si>
  <si>
    <t>Total mark for the question</t>
  </si>
  <si>
    <t>Sl.No.</t>
  </si>
  <si>
    <t>Roll No.</t>
  </si>
  <si>
    <t>Student Name</t>
  </si>
  <si>
    <t>Total no of students</t>
  </si>
  <si>
    <t>Number of students attained Target</t>
  </si>
  <si>
    <t>% of students attained Target</t>
  </si>
  <si>
    <t>Q1</t>
  </si>
  <si>
    <t>Q2</t>
  </si>
  <si>
    <t>Q3</t>
  </si>
  <si>
    <t>Q4</t>
  </si>
  <si>
    <t>Q8</t>
  </si>
  <si>
    <t>Q6</t>
  </si>
  <si>
    <t>Q7</t>
  </si>
  <si>
    <t>Q9</t>
  </si>
  <si>
    <t>Q5</t>
  </si>
  <si>
    <t>Q10</t>
  </si>
  <si>
    <t>CO Attainment Grading Scale</t>
  </si>
  <si>
    <t>% of students achieving target</t>
  </si>
  <si>
    <t>SCORE</t>
  </si>
  <si>
    <t>Table 1</t>
  </si>
  <si>
    <t>&gt;20 and &lt;=40</t>
  </si>
  <si>
    <t>&gt;40 and &lt;=50</t>
  </si>
  <si>
    <t>&gt;50</t>
  </si>
  <si>
    <t>&lt;20</t>
  </si>
  <si>
    <t>Course Outcome</t>
  </si>
  <si>
    <t>CO Attainment Score</t>
  </si>
  <si>
    <t>Score</t>
  </si>
  <si>
    <t>Table2</t>
  </si>
  <si>
    <t>CO-PO MAPPING in terms of codes (H,M and L)</t>
  </si>
  <si>
    <t>Table 3</t>
  </si>
  <si>
    <t>3- Strongly Related (H)</t>
  </si>
  <si>
    <t>2- Moderately  Related (M)</t>
  </si>
  <si>
    <t>1- Related (L)</t>
  </si>
  <si>
    <r>
      <rPr>
        <b/>
        <sz val="12"/>
        <color rgb="FF000000"/>
        <rFont val="Times New Roman"/>
      </rPr>
      <t>0- No relation (</t>
    </r>
    <r>
      <rPr>
        <b/>
        <sz val="12"/>
        <color rgb="FFFF0000"/>
        <rFont val="Times New Roman"/>
      </rPr>
      <t>Blank Cells</t>
    </r>
    <r>
      <rPr>
        <b/>
        <sz val="12"/>
        <color rgb="FF000000"/>
        <rFont val="Times New Roman"/>
      </rPr>
      <t>)</t>
    </r>
  </si>
  <si>
    <t>Table 4</t>
  </si>
  <si>
    <t>PO Attainment Score</t>
  </si>
  <si>
    <t>PO attainment (Endsem)</t>
  </si>
  <si>
    <t>Semester</t>
  </si>
  <si>
    <t>Course Code</t>
  </si>
  <si>
    <t>Course Name</t>
  </si>
  <si>
    <t>Remarks</t>
  </si>
  <si>
    <t>Interim</t>
  </si>
  <si>
    <t>Endsem</t>
  </si>
  <si>
    <t>Direct PO Attainment</t>
  </si>
  <si>
    <t>PROPORTION OF STUDENTS</t>
  </si>
  <si>
    <t>VH</t>
  </si>
  <si>
    <t>H</t>
  </si>
  <si>
    <t>M</t>
  </si>
  <si>
    <t>L</t>
  </si>
  <si>
    <t>VL</t>
  </si>
  <si>
    <t>CO Grading Index (Course Survey)</t>
  </si>
  <si>
    <t xml:space="preserve"> Score</t>
  </si>
  <si>
    <t>Grading Index</t>
  </si>
  <si>
    <t>Exit Survey</t>
  </si>
  <si>
    <t>Final PO Attainment</t>
  </si>
  <si>
    <t>CO1:</t>
  </si>
  <si>
    <t>CO2:</t>
  </si>
  <si>
    <t>CO3:</t>
  </si>
  <si>
    <t>CO4:</t>
  </si>
  <si>
    <t>CO5:</t>
  </si>
  <si>
    <t>CO1: Target Grade</t>
  </si>
  <si>
    <t>Grading Policy</t>
  </si>
  <si>
    <t>Grade</t>
  </si>
  <si>
    <t>Lower Limit</t>
  </si>
  <si>
    <t>Upper Limit</t>
  </si>
  <si>
    <t>S</t>
  </si>
  <si>
    <t>A</t>
  </si>
  <si>
    <t>B</t>
  </si>
  <si>
    <t>C</t>
  </si>
  <si>
    <t>D</t>
  </si>
  <si>
    <t>E</t>
  </si>
  <si>
    <t>F</t>
  </si>
  <si>
    <t>Direct PO Attainment Score</t>
  </si>
  <si>
    <t>Corresponding to the Direct assessment</t>
  </si>
  <si>
    <t>Indirect Attainment</t>
  </si>
  <si>
    <t>Total Marks`</t>
  </si>
  <si>
    <t>Corresponding to the Indirect assessment</t>
  </si>
  <si>
    <t xml:space="preserve">CO1: </t>
  </si>
  <si>
    <t xml:space="preserve">CO2: </t>
  </si>
  <si>
    <t xml:space="preserve">CO3: </t>
  </si>
  <si>
    <t xml:space="preserve">CO4: </t>
  </si>
  <si>
    <t>Course Exit Survey PO attainment</t>
  </si>
  <si>
    <t>Total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</si>
</sst>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* #,##0.00_);_(* \(#,##0.00\);_(* &quot;-&quot;??_);_(@_)"/>
  </numFmts>
  <fonts count="27">
    <font>
      <sz val="11"/>
      <color theme="1"/>
      <name val="Calibri"/>
      <scheme val="minor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Arial"/>
    </font>
    <font>
      <b/>
      <sz val="14"/>
      <color theme="1"/>
      <name val="Arial"/>
    </font>
    <font>
      <b/>
      <sz val="12"/>
      <color theme="1"/>
      <name val="Arial"/>
    </font>
    <font>
      <b/>
      <sz val="12"/>
      <color rgb="FF000000"/>
      <name val="Times New Roman"/>
    </font>
    <font>
      <b/>
      <sz val="10"/>
      <color theme="1"/>
      <name val="Arial"/>
    </font>
    <font>
      <sz val="11"/>
      <color rgb="FF000000"/>
      <name val="Arial"/>
    </font>
    <font>
      <sz val="10"/>
      <color rgb="FFFF0000"/>
      <name val="Arial"/>
    </font>
    <font>
      <b/>
      <sz val="10"/>
      <color rgb="FF000000"/>
      <name val="Arial"/>
    </font>
    <font>
      <b/>
      <sz val="9"/>
      <color theme="1"/>
      <name val="Arial"/>
    </font>
    <font>
      <sz val="9"/>
      <color theme="1"/>
      <name val="Arial"/>
    </font>
    <font>
      <sz val="14"/>
      <color theme="1"/>
      <name val="Arial"/>
    </font>
    <font>
      <b/>
      <sz val="12"/>
      <color rgb="FFFF0000"/>
      <name val="Times New Roman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95B3D7"/>
        <bgColor rgb="FF95B3D7"/>
      </patternFill>
    </fill>
    <fill>
      <patternFill patternType="solid">
        <fgColor rgb="FFB8CCE4"/>
        <bgColor rgb="FFB8CCE4"/>
      </patternFill>
    </fill>
    <fill>
      <patternFill patternType="solid">
        <fgColor rgb="FFFBD4B4"/>
        <bgColor rgb="FFFBD4B4"/>
      </patternFill>
    </fill>
    <fill>
      <patternFill patternType="solid">
        <fgColor rgb="FF92D050"/>
        <bgColor rgb="FF92D050"/>
      </patternFill>
    </fill>
    <fill>
      <patternFill patternType="solid">
        <fgColor rgb="FFFBB9FD"/>
        <bgColor rgb="FFFBB9FD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right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5" fillId="0" borderId="4" xfId="0" applyFont="1" applyBorder="1"/>
    <xf numFmtId="0" fontId="3" fillId="0" borderId="0" xfId="0" applyFont="1" applyAlignment="1">
      <alignment horizontal="center" vertical="center" wrapText="1"/>
    </xf>
    <xf numFmtId="0" fontId="6" fillId="0" borderId="4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/>
    </xf>
    <xf numFmtId="0" fontId="6" fillId="0" borderId="0" xfId="0" applyFont="1"/>
    <xf numFmtId="164" fontId="3" fillId="0" borderId="4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23" xfId="0" applyFont="1" applyBorder="1" applyAlignment="1">
      <alignment horizontal="left" vertical="center" wrapText="1"/>
    </xf>
    <xf numFmtId="0" fontId="2" fillId="0" borderId="4" xfId="0" applyFont="1" applyBorder="1"/>
    <xf numFmtId="2" fontId="3" fillId="0" borderId="4" xfId="0" applyNumberFormat="1" applyFont="1" applyBorder="1" applyAlignment="1">
      <alignment horizontal="center"/>
    </xf>
    <xf numFmtId="0" fontId="3" fillId="0" borderId="23" xfId="0" applyFont="1" applyBorder="1"/>
    <xf numFmtId="0" fontId="1" fillId="0" borderId="24" xfId="0" applyFont="1" applyBorder="1" applyAlignment="1">
      <alignment horizontal="right"/>
    </xf>
    <xf numFmtId="0" fontId="1" fillId="4" borderId="4" xfId="0" applyFont="1" applyFill="1" applyBorder="1"/>
    <xf numFmtId="0" fontId="1" fillId="5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/>
    </xf>
    <xf numFmtId="0" fontId="6" fillId="5" borderId="4" xfId="0" applyFont="1" applyFill="1" applyBorder="1"/>
    <xf numFmtId="0" fontId="1" fillId="5" borderId="4" xfId="0" applyFont="1" applyFill="1" applyBorder="1" applyAlignment="1">
      <alignment horizontal="left" wrapText="1"/>
    </xf>
    <xf numFmtId="0" fontId="6" fillId="6" borderId="4" xfId="0" applyFont="1" applyFill="1" applyBorder="1"/>
    <xf numFmtId="0" fontId="7" fillId="0" borderId="0" xfId="0" applyFont="1"/>
    <xf numFmtId="0" fontId="8" fillId="0" borderId="0" xfId="0" applyFont="1"/>
    <xf numFmtId="0" fontId="1" fillId="4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" fillId="6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center" textRotation="90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2" fillId="7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5" borderId="3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3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3" fillId="6" borderId="3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164" fontId="2" fillId="6" borderId="4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36" xfId="0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vertical="center"/>
    </xf>
    <xf numFmtId="0" fontId="2" fillId="8" borderId="28" xfId="0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14" fillId="5" borderId="3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left" vertical="center"/>
    </xf>
    <xf numFmtId="0" fontId="3" fillId="6" borderId="40" xfId="0" applyFont="1" applyFill="1" applyBorder="1" applyAlignment="1">
      <alignment horizontal="center" vertical="center"/>
    </xf>
    <xf numFmtId="164" fontId="13" fillId="0" borderId="12" xfId="0" applyNumberFormat="1" applyFont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2" fontId="2" fillId="6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3" fillId="5" borderId="3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35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5" borderId="38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 vertical="center" wrapText="1"/>
    </xf>
    <xf numFmtId="0" fontId="14" fillId="5" borderId="30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top"/>
    </xf>
    <xf numFmtId="0" fontId="5" fillId="5" borderId="4" xfId="0" applyFont="1" applyFill="1" applyBorder="1"/>
    <xf numFmtId="0" fontId="3" fillId="5" borderId="30" xfId="0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0" fontId="14" fillId="5" borderId="37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center"/>
    </xf>
    <xf numFmtId="0" fontId="5" fillId="5" borderId="30" xfId="0" applyFont="1" applyFill="1" applyBorder="1"/>
    <xf numFmtId="0" fontId="5" fillId="5" borderId="28" xfId="0" applyFont="1" applyFill="1" applyBorder="1"/>
    <xf numFmtId="0" fontId="3" fillId="6" borderId="45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9" fillId="4" borderId="4" xfId="0" applyFont="1" applyFill="1" applyBorder="1" applyAlignment="1">
      <alignment horizontal="right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right" vertical="center"/>
    </xf>
    <xf numFmtId="0" fontId="9" fillId="4" borderId="36" xfId="0" applyFont="1" applyFill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" fontId="2" fillId="9" borderId="4" xfId="0" applyNumberFormat="1" applyFont="1" applyFill="1" applyBorder="1" applyAlignment="1">
      <alignment horizontal="center" vertical="center"/>
    </xf>
    <xf numFmtId="2" fontId="2" fillId="10" borderId="4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2" fillId="10" borderId="3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4" xfId="0" applyFont="1" applyBorder="1" applyAlignment="1">
      <alignment vertical="center" wrapText="1"/>
    </xf>
    <xf numFmtId="1" fontId="2" fillId="0" borderId="4" xfId="0" applyNumberFormat="1" applyFont="1" applyBorder="1" applyAlignment="1">
      <alignment horizontal="center" vertical="center"/>
    </xf>
    <xf numFmtId="2" fontId="2" fillId="0" borderId="4" xfId="0" applyNumberFormat="1" applyFont="1" applyBorder="1"/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2" fontId="2" fillId="6" borderId="4" xfId="0" applyNumberFormat="1" applyFont="1" applyFill="1" applyBorder="1" applyAlignment="1">
      <alignment horizontal="center" vertical="center" wrapText="1"/>
    </xf>
    <xf numFmtId="2" fontId="5" fillId="0" borderId="0" xfId="0" applyNumberFormat="1" applyFont="1"/>
    <xf numFmtId="0" fontId="1" fillId="6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textRotation="90"/>
    </xf>
    <xf numFmtId="0" fontId="1" fillId="4" borderId="4" xfId="0" applyFont="1" applyFill="1" applyBorder="1" applyAlignment="1">
      <alignment horizontal="center" wrapText="1"/>
    </xf>
    <xf numFmtId="2" fontId="1" fillId="6" borderId="4" xfId="0" applyNumberFormat="1" applyFont="1" applyFill="1" applyBorder="1" applyAlignment="1">
      <alignment horizontal="center" vertical="center"/>
    </xf>
    <xf numFmtId="2" fontId="1" fillId="6" borderId="4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13" fillId="4" borderId="37" xfId="0" applyFont="1" applyFill="1" applyBorder="1" applyAlignment="1">
      <alignment horizontal="center" vertical="center" wrapText="1"/>
    </xf>
    <xf numFmtId="1" fontId="2" fillId="5" borderId="4" xfId="0" applyNumberFormat="1" applyFont="1" applyFill="1" applyBorder="1" applyAlignment="1">
      <alignment horizontal="center" vertical="center"/>
    </xf>
    <xf numFmtId="1" fontId="5" fillId="6" borderId="4" xfId="0" applyNumberFormat="1" applyFont="1" applyFill="1" applyBorder="1" applyAlignment="1">
      <alignment horizontal="center"/>
    </xf>
    <xf numFmtId="2" fontId="3" fillId="6" borderId="4" xfId="0" applyNumberFormat="1" applyFont="1" applyFill="1" applyBorder="1"/>
    <xf numFmtId="2" fontId="3" fillId="6" borderId="4" xfId="0" applyNumberFormat="1" applyFont="1" applyFill="1" applyBorder="1" applyAlignment="1">
      <alignment horizontal="center"/>
    </xf>
    <xf numFmtId="0" fontId="5" fillId="12" borderId="36" xfId="0" applyFont="1" applyFill="1" applyBorder="1"/>
    <xf numFmtId="0" fontId="13" fillId="5" borderId="4" xfId="0" applyFont="1" applyFill="1" applyBorder="1" applyAlignment="1">
      <alignment vertical="center" wrapText="1"/>
    </xf>
    <xf numFmtId="0" fontId="5" fillId="6" borderId="4" xfId="0" applyFont="1" applyFill="1" applyBorder="1"/>
    <xf numFmtId="0" fontId="4" fillId="0" borderId="43" xfId="0" applyFont="1" applyBorder="1"/>
    <xf numFmtId="0" fontId="5" fillId="0" borderId="4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4" fillId="0" borderId="26" xfId="0" applyFont="1" applyBorder="1"/>
    <xf numFmtId="0" fontId="4" fillId="0" borderId="27" xfId="0" applyFont="1" applyBorder="1"/>
    <xf numFmtId="2" fontId="2" fillId="2" borderId="4" xfId="0" applyNumberFormat="1" applyFont="1" applyFill="1" applyBorder="1" applyAlignment="1">
      <alignment horizontal="center" vertical="center"/>
    </xf>
    <xf numFmtId="2" fontId="5" fillId="6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 wrapText="1"/>
    </xf>
    <xf numFmtId="0" fontId="23" fillId="4" borderId="5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1" fillId="5" borderId="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vertical="center"/>
    </xf>
    <xf numFmtId="0" fontId="23" fillId="4" borderId="25" xfId="0" applyFont="1" applyFill="1" applyBorder="1" applyAlignment="1">
      <alignment vertical="center"/>
    </xf>
    <xf numFmtId="0" fontId="25" fillId="0" borderId="4" xfId="0" applyFont="1" applyBorder="1"/>
    <xf numFmtId="0" fontId="26" fillId="0" borderId="4" xfId="0" applyFont="1" applyBorder="1"/>
    <xf numFmtId="0" fontId="1" fillId="5" borderId="4" xfId="0" applyFont="1" applyFill="1" applyBorder="1" applyAlignment="1">
      <alignment horizontal="center" wrapText="1"/>
    </xf>
    <xf numFmtId="0" fontId="26" fillId="0" borderId="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4" fillId="0" borderId="23" xfId="0" applyFont="1" applyBorder="1"/>
    <xf numFmtId="0" fontId="4" fillId="0" borderId="15" xfId="0" applyFont="1" applyBorder="1"/>
    <xf numFmtId="0" fontId="4" fillId="0" borderId="20" xfId="0" applyFont="1" applyBorder="1"/>
    <xf numFmtId="0" fontId="4" fillId="0" borderId="24" xfId="0" applyFont="1" applyBorder="1"/>
    <xf numFmtId="0" fontId="4" fillId="0" borderId="21" xfId="0" applyFont="1" applyBorder="1"/>
    <xf numFmtId="0" fontId="1" fillId="3" borderId="10" xfId="0" applyFont="1" applyFill="1" applyBorder="1" applyAlignment="1">
      <alignment horizontal="right" vertical="center" wrapText="1"/>
    </xf>
    <xf numFmtId="0" fontId="4" fillId="0" borderId="11" xfId="0" applyFont="1" applyBorder="1"/>
    <xf numFmtId="0" fontId="1" fillId="3" borderId="25" xfId="0" applyFont="1" applyFill="1" applyBorder="1" applyAlignment="1">
      <alignment horizontal="right" vertical="center" wrapText="1"/>
    </xf>
    <xf numFmtId="0" fontId="4" fillId="0" borderId="26" xfId="0" applyFont="1" applyBorder="1"/>
    <xf numFmtId="0" fontId="2" fillId="0" borderId="5" xfId="0" applyFont="1" applyBorder="1" applyAlignment="1">
      <alignment horizontal="center" vertical="center"/>
    </xf>
    <xf numFmtId="0" fontId="4" fillId="0" borderId="9" xfId="0" applyFont="1" applyBorder="1"/>
    <xf numFmtId="0" fontId="4" fillId="0" borderId="12" xfId="0" applyFont="1" applyBorder="1"/>
    <xf numFmtId="0" fontId="2" fillId="0" borderId="14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1" fillId="3" borderId="18" xfId="0" applyFont="1" applyFill="1" applyBorder="1" applyAlignment="1">
      <alignment horizontal="right" vertical="center" wrapText="1"/>
    </xf>
    <xf numFmtId="0" fontId="4" fillId="0" borderId="19" xfId="0" applyFont="1" applyBorder="1"/>
    <xf numFmtId="0" fontId="3" fillId="0" borderId="25" xfId="0" applyFont="1" applyBorder="1" applyAlignment="1">
      <alignment horizontal="center"/>
    </xf>
    <xf numFmtId="0" fontId="4" fillId="0" borderId="27" xfId="0" applyFont="1" applyBorder="1"/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22" fillId="4" borderId="50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left" wrapText="1"/>
    </xf>
    <xf numFmtId="0" fontId="5" fillId="0" borderId="25" xfId="0" applyFont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 wrapText="1"/>
    </xf>
    <xf numFmtId="0" fontId="4" fillId="0" borderId="29" xfId="0" applyFont="1" applyBorder="1"/>
    <xf numFmtId="0" fontId="12" fillId="7" borderId="25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4" fillId="0" borderId="32" xfId="0" applyFont="1" applyBorder="1"/>
    <xf numFmtId="0" fontId="4" fillId="0" borderId="33" xfId="0" applyFont="1" applyBorder="1"/>
    <xf numFmtId="164" fontId="2" fillId="4" borderId="25" xfId="0" applyNumberFormat="1" applyFont="1" applyFill="1" applyBorder="1" applyAlignment="1">
      <alignment horizontal="left" vertical="center" shrinkToFit="1"/>
    </xf>
    <xf numFmtId="164" fontId="2" fillId="4" borderId="28" xfId="0" applyNumberFormat="1" applyFont="1" applyFill="1" applyBorder="1" applyAlignment="1">
      <alignment horizontal="left" vertical="center" shrinkToFit="1"/>
    </xf>
    <xf numFmtId="164" fontId="2" fillId="4" borderId="30" xfId="0" applyNumberFormat="1" applyFont="1" applyFill="1" applyBorder="1" applyAlignment="1">
      <alignment horizontal="left" vertical="center" shrinkToFit="1"/>
    </xf>
    <xf numFmtId="164" fontId="2" fillId="4" borderId="38" xfId="0" applyNumberFormat="1" applyFont="1" applyFill="1" applyBorder="1" applyAlignment="1">
      <alignment horizontal="left" vertical="center" shrinkToFit="1"/>
    </xf>
    <xf numFmtId="164" fontId="2" fillId="4" borderId="31" xfId="0" applyNumberFormat="1" applyFont="1" applyFill="1" applyBorder="1" applyAlignment="1">
      <alignment horizontal="left" vertical="center" shrinkToFit="1"/>
    </xf>
    <xf numFmtId="0" fontId="4" fillId="0" borderId="41" xfId="0" applyFont="1" applyBorder="1"/>
    <xf numFmtId="0" fontId="4" fillId="0" borderId="43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21" fillId="4" borderId="28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0" fontId="11" fillId="4" borderId="38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2" fillId="0" borderId="25" xfId="0" applyFont="1" applyBorder="1" applyAlignment="1">
      <alignment horizontal="center"/>
    </xf>
    <xf numFmtId="0" fontId="1" fillId="11" borderId="25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left" vertical="center" wrapText="1"/>
    </xf>
    <xf numFmtId="0" fontId="12" fillId="8" borderId="25" xfId="0" applyFont="1" applyFill="1" applyBorder="1" applyAlignment="1">
      <alignment horizontal="left" vertical="center"/>
    </xf>
    <xf numFmtId="0" fontId="12" fillId="8" borderId="25" xfId="0" applyFont="1" applyFill="1" applyBorder="1" applyAlignment="1">
      <alignment horizontal="left" vertical="center" wrapText="1"/>
    </xf>
    <xf numFmtId="0" fontId="1" fillId="11" borderId="46" xfId="0" applyFont="1" applyFill="1" applyBorder="1" applyAlignment="1">
      <alignment horizontal="center"/>
    </xf>
    <xf numFmtId="0" fontId="4" fillId="0" borderId="47" xfId="0" applyFont="1" applyBorder="1"/>
    <xf numFmtId="0" fontId="4" fillId="0" borderId="48" xfId="0" applyFont="1" applyBorder="1"/>
    <xf numFmtId="0" fontId="10" fillId="0" borderId="2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1" fillId="11" borderId="25" xfId="0" applyFont="1" applyFill="1" applyBorder="1" applyAlignment="1">
      <alignment horizontal="center" vertical="center"/>
    </xf>
    <xf numFmtId="0" fontId="24" fillId="0" borderId="46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left"/>
    </xf>
    <xf numFmtId="0" fontId="1" fillId="6" borderId="25" xfId="0" applyFont="1" applyFill="1" applyBorder="1" applyAlignment="1">
      <alignment horizontal="left"/>
    </xf>
    <xf numFmtId="0" fontId="13" fillId="4" borderId="25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3" fillId="4" borderId="38" xfId="0" applyFont="1" applyFill="1" applyBorder="1" applyAlignment="1">
      <alignment horizontal="center"/>
    </xf>
    <xf numFmtId="0" fontId="2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00"/>
  <sheetViews>
    <sheetView workbookViewId="0">
      <selection activeCell="C26" sqref="C26:D26"/>
    </sheetView>
  </sheetViews>
  <sheetFormatPr defaultColWidth="14.44140625" defaultRowHeight="15" customHeight="1"/>
  <cols>
    <col min="1" max="1" width="8.6640625" customWidth="1"/>
    <col min="2" max="2" width="16.88671875" customWidth="1"/>
    <col min="3" max="3" width="36.88671875" customWidth="1"/>
    <col min="4" max="6" width="12.44140625" customWidth="1"/>
    <col min="7" max="7" width="15.88671875" customWidth="1"/>
    <col min="8" max="11" width="10" customWidth="1"/>
    <col min="12" max="13" width="9.5546875" customWidth="1"/>
    <col min="14" max="14" width="10.6640625" customWidth="1"/>
    <col min="15" max="15" width="10.5546875" customWidth="1"/>
    <col min="16" max="16" width="11.44140625" customWidth="1"/>
    <col min="17" max="17" width="10.44140625" customWidth="1"/>
    <col min="18" max="18" width="10.88671875" customWidth="1"/>
    <col min="19" max="20" width="10.5546875" customWidth="1"/>
    <col min="21" max="21" width="9.5546875" customWidth="1"/>
    <col min="22" max="26" width="8.6640625" customWidth="1"/>
  </cols>
  <sheetData>
    <row r="1" spans="2:12" ht="14.25" customHeight="1"/>
    <row r="2" spans="2:12" ht="14.25" customHeight="1"/>
    <row r="3" spans="2:12" ht="14.25" customHeight="1"/>
    <row r="4" spans="2:12" ht="14.25" customHeight="1"/>
    <row r="5" spans="2:12" ht="14.25" customHeight="1">
      <c r="B5" s="1" t="s">
        <v>0</v>
      </c>
      <c r="C5" s="2" t="s">
        <v>1</v>
      </c>
      <c r="D5" s="3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210"/>
      <c r="L5" s="5" t="s">
        <v>9</v>
      </c>
    </row>
    <row r="6" spans="2:12" ht="14.25" customHeight="1">
      <c r="B6" s="6">
        <v>1</v>
      </c>
      <c r="C6" s="7" t="s">
        <v>10</v>
      </c>
      <c r="D6" s="8"/>
      <c r="E6" s="9" t="s">
        <v>11</v>
      </c>
      <c r="F6" s="9" t="s">
        <v>11</v>
      </c>
      <c r="G6" s="9" t="s">
        <v>12</v>
      </c>
      <c r="H6" s="9" t="s">
        <v>12</v>
      </c>
      <c r="I6" s="9" t="s">
        <v>12</v>
      </c>
      <c r="J6" s="9" t="s">
        <v>12</v>
      </c>
      <c r="K6" s="211"/>
      <c r="L6" s="10"/>
    </row>
    <row r="7" spans="2:12" ht="14.25" customHeight="1">
      <c r="B7" s="6"/>
      <c r="C7" s="206" t="s">
        <v>13</v>
      </c>
      <c r="D7" s="207"/>
      <c r="E7" s="11"/>
      <c r="F7" s="11"/>
      <c r="G7" s="11"/>
      <c r="H7" s="11"/>
      <c r="I7" s="11"/>
      <c r="J7" s="11"/>
      <c r="K7" s="212"/>
      <c r="L7" s="10">
        <f>SUM(E7:K7)</f>
        <v>0</v>
      </c>
    </row>
    <row r="8" spans="2:12" ht="14.25" customHeight="1">
      <c r="B8" s="6"/>
      <c r="C8" s="12"/>
      <c r="D8" s="12"/>
      <c r="E8" s="4" t="s">
        <v>3</v>
      </c>
      <c r="F8" s="4" t="s">
        <v>4</v>
      </c>
      <c r="G8" s="4" t="s">
        <v>5</v>
      </c>
      <c r="H8" s="4" t="s">
        <v>6</v>
      </c>
      <c r="I8" s="4" t="s">
        <v>7</v>
      </c>
      <c r="J8" s="213"/>
      <c r="K8" s="202"/>
      <c r="L8" s="10"/>
    </row>
    <row r="9" spans="2:12" ht="14.25" customHeight="1">
      <c r="B9" s="6">
        <v>2</v>
      </c>
      <c r="C9" s="7" t="s">
        <v>14</v>
      </c>
      <c r="D9" s="8"/>
      <c r="E9" s="9" t="s">
        <v>15</v>
      </c>
      <c r="F9" s="9" t="s">
        <v>16</v>
      </c>
      <c r="G9" s="9" t="s">
        <v>15</v>
      </c>
      <c r="H9" s="9" t="s">
        <v>11</v>
      </c>
      <c r="I9" s="9" t="s">
        <v>12</v>
      </c>
      <c r="J9" s="214"/>
      <c r="K9" s="215"/>
      <c r="L9" s="10"/>
    </row>
    <row r="10" spans="2:12" ht="14.25" customHeight="1">
      <c r="B10" s="6"/>
      <c r="C10" s="216" t="s">
        <v>13</v>
      </c>
      <c r="D10" s="217"/>
      <c r="E10" s="11"/>
      <c r="F10" s="11"/>
      <c r="G10" s="11"/>
      <c r="H10" s="11"/>
      <c r="I10" s="11"/>
      <c r="J10" s="203"/>
      <c r="K10" s="205"/>
      <c r="L10" s="10">
        <f>SUM(E10:K10)</f>
        <v>0</v>
      </c>
    </row>
    <row r="11" spans="2:12" ht="14.25" customHeight="1">
      <c r="B11" s="13"/>
      <c r="C11" s="14"/>
      <c r="D11" s="14"/>
      <c r="E11" s="4" t="s">
        <v>17</v>
      </c>
      <c r="F11" s="4" t="s">
        <v>18</v>
      </c>
      <c r="G11" s="4"/>
      <c r="H11" s="200"/>
      <c r="I11" s="201"/>
      <c r="J11" s="201"/>
      <c r="K11" s="202"/>
      <c r="L11" s="10"/>
    </row>
    <row r="12" spans="2:12" ht="14.25" customHeight="1">
      <c r="B12" s="6">
        <v>3</v>
      </c>
      <c r="C12" s="7" t="s">
        <v>19</v>
      </c>
      <c r="D12" s="8"/>
      <c r="E12" s="9" t="s">
        <v>15</v>
      </c>
      <c r="F12" s="9" t="s">
        <v>16</v>
      </c>
      <c r="G12" s="15" t="s">
        <v>20</v>
      </c>
      <c r="H12" s="203"/>
      <c r="I12" s="204"/>
      <c r="J12" s="204"/>
      <c r="K12" s="205"/>
      <c r="L12" s="10"/>
    </row>
    <row r="13" spans="2:12" ht="14.25" customHeight="1">
      <c r="B13" s="6"/>
      <c r="C13" s="16"/>
      <c r="D13" s="17"/>
      <c r="E13" s="11"/>
      <c r="F13" s="11"/>
      <c r="G13" s="11"/>
      <c r="H13" s="200"/>
      <c r="I13" s="201"/>
      <c r="J13" s="201"/>
      <c r="K13" s="202"/>
      <c r="L13" s="10">
        <f t="shared" ref="L13:L14" si="0">SUM(E13:K13)</f>
        <v>0</v>
      </c>
    </row>
    <row r="14" spans="2:12" ht="14.25" customHeight="1">
      <c r="B14" s="6"/>
      <c r="C14" s="206" t="s">
        <v>21</v>
      </c>
      <c r="D14" s="207"/>
      <c r="E14" s="18"/>
      <c r="F14" s="18"/>
      <c r="G14" s="18"/>
      <c r="H14" s="203"/>
      <c r="I14" s="204"/>
      <c r="J14" s="204"/>
      <c r="K14" s="205"/>
      <c r="L14" s="19">
        <f t="shared" si="0"/>
        <v>0</v>
      </c>
    </row>
    <row r="15" spans="2:12" ht="14.25" customHeight="1"/>
    <row r="16" spans="2:12" ht="14.25" customHeight="1">
      <c r="B16" s="20"/>
      <c r="C16" s="20"/>
      <c r="D16" s="21"/>
    </row>
    <row r="17" spans="2:21" ht="14.25" customHeight="1">
      <c r="B17" s="22"/>
      <c r="C17" s="4"/>
      <c r="D17" s="23"/>
    </row>
    <row r="18" spans="2:21" ht="14.25" customHeight="1">
      <c r="B18" s="22"/>
      <c r="C18" s="4"/>
      <c r="D18" s="23"/>
    </row>
    <row r="19" spans="2:21" ht="14.25" customHeight="1"/>
    <row r="20" spans="2:21" ht="14.25" customHeight="1"/>
    <row r="21" spans="2:21" ht="14.25" customHeight="1"/>
    <row r="22" spans="2:21" ht="14.25" customHeight="1"/>
    <row r="23" spans="2:21" ht="14.25" customHeight="1"/>
    <row r="24" spans="2:21" ht="14.25" customHeight="1">
      <c r="C24" s="24"/>
      <c r="D24" s="24"/>
      <c r="E24" s="4" t="s">
        <v>22</v>
      </c>
      <c r="F24" s="4" t="s">
        <v>23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24</v>
      </c>
      <c r="L24" s="4" t="s">
        <v>25</v>
      </c>
      <c r="M24" s="4" t="s">
        <v>26</v>
      </c>
      <c r="N24" s="4" t="s">
        <v>27</v>
      </c>
      <c r="O24" s="4" t="s">
        <v>28</v>
      </c>
      <c r="P24" s="4" t="s">
        <v>29</v>
      </c>
      <c r="Q24" s="4" t="s">
        <v>30</v>
      </c>
      <c r="R24" s="4" t="s">
        <v>31</v>
      </c>
      <c r="S24" s="4" t="s">
        <v>32</v>
      </c>
      <c r="T24" s="4" t="s">
        <v>33</v>
      </c>
      <c r="U24" s="4"/>
    </row>
    <row r="25" spans="2:21" ht="14.25" customHeight="1">
      <c r="B25" s="25"/>
      <c r="C25" s="301" t="s">
        <v>46</v>
      </c>
      <c r="D25" s="15"/>
      <c r="E25" s="9" t="s">
        <v>15</v>
      </c>
      <c r="F25" s="9" t="s">
        <v>16</v>
      </c>
      <c r="G25" s="9" t="s">
        <v>12</v>
      </c>
      <c r="H25" s="9" t="s">
        <v>16</v>
      </c>
      <c r="I25" s="9" t="s">
        <v>16</v>
      </c>
      <c r="J25" s="9" t="s">
        <v>15</v>
      </c>
      <c r="K25" s="9" t="s">
        <v>15</v>
      </c>
      <c r="L25" s="9" t="s">
        <v>11</v>
      </c>
      <c r="M25" s="9" t="s">
        <v>15</v>
      </c>
      <c r="N25" s="9" t="s">
        <v>16</v>
      </c>
      <c r="O25" s="9" t="s">
        <v>11</v>
      </c>
      <c r="P25" s="9" t="s">
        <v>12</v>
      </c>
      <c r="Q25" s="9" t="s">
        <v>15</v>
      </c>
      <c r="R25" s="9" t="s">
        <v>11</v>
      </c>
      <c r="S25" s="9" t="s">
        <v>16</v>
      </c>
      <c r="T25" s="9" t="s">
        <v>20</v>
      </c>
      <c r="U25" s="10"/>
    </row>
    <row r="26" spans="2:21" ht="14.25" customHeight="1">
      <c r="B26" s="25"/>
      <c r="C26" s="208" t="s">
        <v>13</v>
      </c>
      <c r="D26" s="209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0">
        <f>SUM(E26:S26)</f>
        <v>0</v>
      </c>
    </row>
    <row r="27" spans="2:21" ht="14.25" customHeight="1"/>
    <row r="28" spans="2:21" ht="14.25" customHeight="1"/>
    <row r="29" spans="2:21" ht="14.25" customHeight="1">
      <c r="E29" s="26"/>
      <c r="F29" s="26"/>
    </row>
    <row r="30" spans="2:21" ht="14.25" customHeight="1">
      <c r="E30" s="24"/>
      <c r="F30" s="24"/>
    </row>
    <row r="31" spans="2:21" ht="14.25" customHeight="1">
      <c r="E31" s="24"/>
      <c r="F31" s="24"/>
    </row>
    <row r="32" spans="2:21" ht="14.25" customHeight="1">
      <c r="E32" s="24"/>
      <c r="F32" s="24"/>
    </row>
    <row r="33" spans="5:6" ht="14.25" customHeight="1">
      <c r="E33" s="24"/>
      <c r="F33" s="24"/>
    </row>
    <row r="34" spans="5:6" ht="14.25" customHeight="1"/>
    <row r="35" spans="5:6" ht="14.25" customHeight="1"/>
    <row r="36" spans="5:6" ht="14.25" customHeight="1"/>
    <row r="37" spans="5:6" ht="14.25" customHeight="1"/>
    <row r="38" spans="5:6" ht="14.25" customHeight="1"/>
    <row r="39" spans="5:6" ht="14.25" customHeight="1"/>
    <row r="40" spans="5:6" ht="14.25" customHeight="1"/>
    <row r="41" spans="5:6" ht="14.25" customHeight="1"/>
    <row r="42" spans="5:6" ht="14.25" customHeight="1"/>
    <row r="43" spans="5:6" ht="14.25" customHeight="1"/>
    <row r="44" spans="5:6" ht="14.25" customHeight="1"/>
    <row r="45" spans="5:6" ht="14.25" customHeight="1"/>
    <row r="46" spans="5:6" ht="14.25" customHeight="1"/>
    <row r="47" spans="5:6" ht="14.25" customHeight="1"/>
    <row r="48" spans="5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H13:K14"/>
    <mergeCell ref="C14:D14"/>
    <mergeCell ref="C26:D26"/>
    <mergeCell ref="K5:K7"/>
    <mergeCell ref="C7:D7"/>
    <mergeCell ref="J8:K10"/>
    <mergeCell ref="C10:D10"/>
    <mergeCell ref="H11:K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7"/>
  <sheetViews>
    <sheetView topLeftCell="A10" workbookViewId="0">
      <selection activeCell="J37" sqref="J37"/>
    </sheetView>
  </sheetViews>
  <sheetFormatPr defaultColWidth="14.44140625" defaultRowHeight="15" customHeight="1"/>
  <cols>
    <col min="1" max="1" width="53.109375" customWidth="1"/>
    <col min="2" max="2" width="9.44140625" customWidth="1"/>
    <col min="3" max="26" width="8.6640625" customWidth="1"/>
  </cols>
  <sheetData>
    <row r="1" spans="1:26" ht="14.25" customHeight="1">
      <c r="A1" s="27" t="s">
        <v>34</v>
      </c>
      <c r="B1" s="28">
        <f>'Front page'!D3</f>
        <v>0</v>
      </c>
      <c r="C1" s="222">
        <f>'Front page'!D2</f>
        <v>0</v>
      </c>
      <c r="D1" s="223"/>
      <c r="E1" s="223"/>
      <c r="F1" s="223"/>
    </row>
    <row r="2" spans="1:26" ht="14.25" customHeight="1">
      <c r="A2" s="27" t="s">
        <v>35</v>
      </c>
      <c r="B2" s="28"/>
      <c r="C2" s="29"/>
      <c r="D2" s="29"/>
      <c r="E2" s="29"/>
      <c r="F2" s="29"/>
    </row>
    <row r="3" spans="1:26" ht="14.25" customHeight="1">
      <c r="A3" s="27" t="s">
        <v>36</v>
      </c>
      <c r="B3" s="28">
        <f>'Front page'!D5</f>
        <v>0</v>
      </c>
      <c r="C3" s="28">
        <f>'Front page'!D4</f>
        <v>0</v>
      </c>
      <c r="D3" s="29"/>
      <c r="E3" s="29"/>
      <c r="F3" s="29"/>
    </row>
    <row r="4" spans="1:26" ht="14.25" customHeight="1"/>
    <row r="5" spans="1:26" ht="14.25" customHeight="1">
      <c r="A5" s="224" t="s">
        <v>37</v>
      </c>
      <c r="B5" s="223"/>
      <c r="C5" s="223"/>
      <c r="D5" s="223"/>
      <c r="E5" s="223"/>
      <c r="F5" s="223"/>
    </row>
    <row r="6" spans="1:26" ht="14.25" customHeight="1">
      <c r="A6" s="10" t="s">
        <v>38</v>
      </c>
      <c r="B6" s="10" t="s">
        <v>39</v>
      </c>
      <c r="C6" s="10" t="s">
        <v>40</v>
      </c>
      <c r="D6" s="10" t="s">
        <v>41</v>
      </c>
      <c r="E6" s="10" t="s">
        <v>42</v>
      </c>
      <c r="F6" s="10" t="s">
        <v>43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25" customHeight="1">
      <c r="A7" s="199" t="s">
        <v>187</v>
      </c>
      <c r="B7" s="11">
        <v>3</v>
      </c>
      <c r="C7" s="11">
        <v>2</v>
      </c>
      <c r="D7" s="11">
        <v>3</v>
      </c>
      <c r="E7" s="11">
        <v>2</v>
      </c>
      <c r="F7" s="11">
        <v>0</v>
      </c>
    </row>
    <row r="8" spans="1:26" ht="14.25" customHeight="1">
      <c r="A8" s="199" t="s">
        <v>188</v>
      </c>
      <c r="B8" s="11">
        <v>3</v>
      </c>
      <c r="C8" s="11">
        <v>3</v>
      </c>
      <c r="D8" s="11">
        <v>3</v>
      </c>
      <c r="E8" s="11">
        <v>2</v>
      </c>
      <c r="F8" s="11">
        <v>0</v>
      </c>
    </row>
    <row r="9" spans="1:26" ht="14.25" customHeight="1">
      <c r="A9" s="199" t="s">
        <v>189</v>
      </c>
      <c r="B9" s="11">
        <v>3</v>
      </c>
      <c r="C9" s="11">
        <v>1</v>
      </c>
      <c r="D9" s="11">
        <v>3</v>
      </c>
      <c r="E9" s="11">
        <v>2</v>
      </c>
      <c r="F9" s="11">
        <v>1</v>
      </c>
    </row>
    <row r="10" spans="1:26" ht="14.25" customHeight="1">
      <c r="A10" s="199" t="s">
        <v>190</v>
      </c>
      <c r="B10" s="11">
        <v>3</v>
      </c>
      <c r="C10" s="11">
        <v>3</v>
      </c>
      <c r="D10" s="11">
        <v>3</v>
      </c>
      <c r="E10" s="11">
        <v>2</v>
      </c>
      <c r="F10" s="11">
        <v>1</v>
      </c>
    </row>
    <row r="11" spans="1:26" ht="14.4">
      <c r="A11" s="32"/>
      <c r="B11" s="11"/>
      <c r="C11" s="11"/>
      <c r="D11" s="11"/>
      <c r="E11" s="11"/>
      <c r="F11" s="11"/>
    </row>
    <row r="12" spans="1:26" ht="14.25" customHeight="1">
      <c r="A12" s="225"/>
      <c r="B12" s="201"/>
      <c r="C12" s="201"/>
      <c r="D12" s="201"/>
      <c r="E12" s="201"/>
      <c r="F12" s="201"/>
    </row>
    <row r="13" spans="1:26" ht="14.25" customHeight="1">
      <c r="A13" s="220" t="s">
        <v>44</v>
      </c>
      <c r="B13" s="204"/>
      <c r="C13" s="204"/>
      <c r="D13" s="204"/>
      <c r="E13" s="204"/>
      <c r="F13" s="204"/>
    </row>
    <row r="14" spans="1:26" ht="14.25" customHeight="1">
      <c r="A14" s="20" t="s">
        <v>38</v>
      </c>
      <c r="B14" s="20" t="s">
        <v>11</v>
      </c>
      <c r="C14" s="20" t="s">
        <v>12</v>
      </c>
      <c r="D14" s="20" t="s">
        <v>15</v>
      </c>
      <c r="E14" s="20" t="s">
        <v>16</v>
      </c>
      <c r="F14" s="20" t="s">
        <v>20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197" t="s">
        <v>185</v>
      </c>
      <c r="B15" s="35">
        <f>'CO Assessment'!BI7</f>
        <v>38.75</v>
      </c>
      <c r="C15" s="35">
        <f>'CO Assessment'!BM7</f>
        <v>27.5</v>
      </c>
      <c r="D15" s="35">
        <f>'CO Assessment'!BQ7</f>
        <v>20</v>
      </c>
      <c r="E15" s="35">
        <f>'CO Assessment'!BU7</f>
        <v>13.75</v>
      </c>
      <c r="F15" s="22">
        <v>0</v>
      </c>
    </row>
    <row r="16" spans="1:26" ht="14.25" customHeight="1">
      <c r="A16" s="36"/>
      <c r="B16" s="37"/>
      <c r="C16" s="37"/>
      <c r="D16" s="37"/>
      <c r="E16" s="37"/>
      <c r="F16" s="37"/>
    </row>
    <row r="17" spans="1:26" ht="14.25" customHeight="1">
      <c r="A17" s="226" t="s">
        <v>47</v>
      </c>
      <c r="B17" s="223"/>
      <c r="C17" s="223"/>
      <c r="D17" s="223"/>
      <c r="E17" s="223"/>
      <c r="F17" s="223"/>
    </row>
    <row r="18" spans="1:26" ht="30.75" customHeight="1">
      <c r="A18" s="39"/>
      <c r="B18" s="228" t="s">
        <v>48</v>
      </c>
      <c r="C18" s="209"/>
      <c r="D18" s="227" t="s">
        <v>49</v>
      </c>
      <c r="E18" s="219"/>
      <c r="F18" s="209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4.25" customHeight="1">
      <c r="A19" s="229" t="s">
        <v>50</v>
      </c>
      <c r="B19" s="218">
        <v>3</v>
      </c>
      <c r="C19" s="209"/>
      <c r="D19" s="218">
        <v>85</v>
      </c>
      <c r="E19" s="219"/>
      <c r="F19" s="209"/>
    </row>
    <row r="20" spans="1:26" ht="14.25" customHeight="1">
      <c r="A20" s="211"/>
      <c r="B20" s="218">
        <v>2</v>
      </c>
      <c r="C20" s="209"/>
      <c r="D20" s="218">
        <v>50</v>
      </c>
      <c r="E20" s="219"/>
      <c r="F20" s="209"/>
    </row>
    <row r="21" spans="1:26" ht="14.25" customHeight="1">
      <c r="A21" s="212"/>
      <c r="B21" s="218">
        <v>1</v>
      </c>
      <c r="C21" s="209"/>
      <c r="D21" s="218">
        <v>30</v>
      </c>
      <c r="E21" s="219"/>
      <c r="F21" s="209"/>
    </row>
    <row r="22" spans="1:26" ht="14.25" customHeight="1">
      <c r="A22" s="41"/>
      <c r="B22" s="33"/>
      <c r="C22" s="33"/>
      <c r="D22" s="33"/>
      <c r="E22" s="33"/>
      <c r="F22" s="33"/>
    </row>
    <row r="23" spans="1:26" ht="14.25" customHeight="1">
      <c r="A23" s="220" t="s">
        <v>51</v>
      </c>
      <c r="B23" s="204"/>
      <c r="C23" s="204"/>
      <c r="D23" s="204"/>
      <c r="E23" s="204"/>
      <c r="F23" s="204"/>
    </row>
    <row r="24" spans="1:26" ht="14.25" customHeight="1">
      <c r="A24" s="20" t="s">
        <v>51</v>
      </c>
      <c r="B24" s="20" t="s">
        <v>11</v>
      </c>
      <c r="C24" s="20" t="s">
        <v>12</v>
      </c>
      <c r="D24" s="20" t="s">
        <v>15</v>
      </c>
      <c r="E24" s="20" t="s">
        <v>16</v>
      </c>
      <c r="F24" s="20" t="s">
        <v>20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>
      <c r="A25" s="196" t="s">
        <v>183</v>
      </c>
      <c r="B25" s="43">
        <f>'CO-PO Direct Attainment'!E12</f>
        <v>2.1587301587301586</v>
      </c>
      <c r="C25" s="43">
        <f>'CO-PO Direct Attainment'!E13</f>
        <v>2.6878306878306879</v>
      </c>
      <c r="D25" s="43">
        <f>'CO-PO Direct Attainment'!E14</f>
        <v>2.7936507936507939</v>
      </c>
      <c r="E25" s="43">
        <f>'CO-PO Direct Attainment'!E15</f>
        <v>2.5820105820105819</v>
      </c>
      <c r="F25" s="43" t="str">
        <f>'CO-PO Direct Attainment'!E16</f>
        <v/>
      </c>
    </row>
    <row r="26" spans="1:26" ht="14.25" customHeight="1">
      <c r="A26" s="196" t="s">
        <v>186</v>
      </c>
      <c r="B26" s="43">
        <f>'CO-PO Indirect Attainment'!L14</f>
        <v>2.472</v>
      </c>
      <c r="C26" s="43">
        <f>'CO-PO Indirect Attainment'!L15</f>
        <v>2.4240000000000004</v>
      </c>
      <c r="D26" s="43">
        <f>'CO-PO Indirect Attainment'!L16</f>
        <v>2.5200000000000005</v>
      </c>
      <c r="E26" s="43">
        <f>'CO-PO Indirect Attainment'!L17</f>
        <v>2.5200000000000005</v>
      </c>
      <c r="F26" s="43"/>
    </row>
    <row r="27" spans="1:26" ht="14.25" customHeight="1">
      <c r="A27" s="44"/>
      <c r="B27" s="44"/>
      <c r="C27" s="44"/>
      <c r="D27" s="44"/>
      <c r="E27" s="44"/>
      <c r="F27" s="44"/>
    </row>
    <row r="28" spans="1:26" ht="14.25" customHeight="1">
      <c r="A28" s="45" t="s">
        <v>52</v>
      </c>
      <c r="B28" s="221">
        <f>'Front page'!D2</f>
        <v>0</v>
      </c>
      <c r="C28" s="204"/>
      <c r="D28" s="204"/>
      <c r="E28" s="204"/>
      <c r="F28" s="204"/>
    </row>
    <row r="29" spans="1:26" ht="14.25" customHeight="1">
      <c r="A29" s="20">
        <f>'Front page'!D3</f>
        <v>0</v>
      </c>
      <c r="B29" s="20" t="s">
        <v>39</v>
      </c>
      <c r="C29" s="20" t="s">
        <v>40</v>
      </c>
      <c r="D29" s="20" t="s">
        <v>41</v>
      </c>
      <c r="E29" s="20" t="s">
        <v>42</v>
      </c>
      <c r="F29" s="20" t="s">
        <v>43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4.25" customHeight="1">
      <c r="A30" s="197" t="s">
        <v>53</v>
      </c>
      <c r="B30" s="43">
        <f>'CO-PO Direct Attainment'!C33</f>
        <v>2.5555555555555554</v>
      </c>
      <c r="C30" s="43">
        <f>'CO-PO Direct Attainment'!D33</f>
        <v>2.5467372134038797</v>
      </c>
      <c r="D30" s="43">
        <f>'CO-PO Direct Attainment'!E33</f>
        <v>2.5555555555555554</v>
      </c>
      <c r="E30" s="43">
        <f>'CO-PO Direct Attainment'!F33</f>
        <v>2.5555555555555558</v>
      </c>
      <c r="F30" s="43">
        <f>'CO-PO Direct Attainment'!G33</f>
        <v>2.6878306878306879</v>
      </c>
    </row>
    <row r="31" spans="1:26" ht="14.25" customHeight="1">
      <c r="A31" s="197" t="s">
        <v>184</v>
      </c>
      <c r="B31" s="43">
        <f>'CO-PO Indirect Attainment'!D33</f>
        <v>2.4840000000000004</v>
      </c>
      <c r="C31" s="43">
        <f>'CO-PO Indirect Attainment'!E33</f>
        <v>2.4773333333333336</v>
      </c>
      <c r="D31" s="43">
        <f>'CO-PO Indirect Attainment'!F33</f>
        <v>2.4840000000000004</v>
      </c>
      <c r="E31" s="43">
        <f>'CO-PO Indirect Attainment'!G33</f>
        <v>2.4840000000000004</v>
      </c>
      <c r="F31" s="43">
        <f>'CO-PO Indirect Attainment'!H33</f>
        <v>2.5200000000000005</v>
      </c>
    </row>
    <row r="32" spans="1:26" ht="14.25" customHeight="1">
      <c r="A32" s="197" t="s">
        <v>192</v>
      </c>
      <c r="B32" s="43">
        <f>(0.8*B30)+(0.2*B31)</f>
        <v>2.5412444444444446</v>
      </c>
      <c r="C32" s="43">
        <f t="shared" ref="C32:F32" si="0">(0.8*C30)+(0.2*C31)</f>
        <v>2.5328564373897704</v>
      </c>
      <c r="D32" s="43">
        <f t="shared" si="0"/>
        <v>2.5412444444444446</v>
      </c>
      <c r="E32" s="43">
        <f t="shared" si="0"/>
        <v>2.5412444444444446</v>
      </c>
      <c r="F32" s="43">
        <f t="shared" si="0"/>
        <v>2.6542645502645503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6">
    <mergeCell ref="D20:F20"/>
    <mergeCell ref="D21:F21"/>
    <mergeCell ref="A23:F23"/>
    <mergeCell ref="B28:F28"/>
    <mergeCell ref="C1:F1"/>
    <mergeCell ref="A5:F5"/>
    <mergeCell ref="A12:F12"/>
    <mergeCell ref="A13:F13"/>
    <mergeCell ref="A17:F17"/>
    <mergeCell ref="D18:F18"/>
    <mergeCell ref="D19:F19"/>
    <mergeCell ref="B18:C18"/>
    <mergeCell ref="B19:C19"/>
    <mergeCell ref="A19:A21"/>
    <mergeCell ref="B20:C20"/>
    <mergeCell ref="B21:C21"/>
  </mergeCells>
  <printOptions horizontalCentered="1"/>
  <pageMargins left="0.70866141732283472" right="0.70866141732283472" top="0.74803149606299213" bottom="0.74803149606299213" header="0" footer="0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1:N1000"/>
  <sheetViews>
    <sheetView workbookViewId="0">
      <selection activeCell="G30" sqref="G30"/>
    </sheetView>
  </sheetViews>
  <sheetFormatPr defaultColWidth="14.44140625" defaultRowHeight="15" customHeight="1"/>
  <cols>
    <col min="1" max="1" width="8.6640625" customWidth="1"/>
    <col min="2" max="2" width="12.6640625" customWidth="1"/>
    <col min="3" max="3" width="28.33203125" bestFit="1" customWidth="1"/>
    <col min="4" max="4" width="12.5546875" bestFit="1" customWidth="1"/>
    <col min="5" max="5" width="12.33203125" bestFit="1" customWidth="1"/>
    <col min="6" max="6" width="4.88671875" customWidth="1"/>
    <col min="7" max="7" width="17.6640625" customWidth="1"/>
    <col min="8" max="8" width="7.33203125" customWidth="1"/>
    <col min="9" max="9" width="7.6640625" customWidth="1"/>
    <col min="10" max="10" width="7.88671875" customWidth="1"/>
    <col min="11" max="11" width="8" customWidth="1"/>
    <col min="12" max="12" width="7.5546875" customWidth="1"/>
    <col min="13" max="13" width="5.6640625" customWidth="1"/>
    <col min="14" max="14" width="24.33203125" customWidth="1"/>
    <col min="15" max="27" width="8.6640625" customWidth="1"/>
  </cols>
  <sheetData>
    <row r="1" spans="3:14" ht="14.25" customHeight="1"/>
    <row r="2" spans="3:14" ht="14.25" customHeight="1">
      <c r="C2" s="46" t="s">
        <v>54</v>
      </c>
      <c r="D2" s="47"/>
      <c r="E2" s="181"/>
      <c r="F2" s="29"/>
      <c r="G2" s="29"/>
      <c r="N2" s="48" t="s">
        <v>55</v>
      </c>
    </row>
    <row r="3" spans="3:14" ht="14.25" customHeight="1">
      <c r="C3" s="46" t="s">
        <v>56</v>
      </c>
      <c r="D3" s="47"/>
      <c r="E3" s="181"/>
      <c r="F3" s="29"/>
      <c r="G3" s="29"/>
      <c r="N3" s="49" t="s">
        <v>57</v>
      </c>
    </row>
    <row r="4" spans="3:14" ht="14.25" customHeight="1">
      <c r="C4" s="46" t="s">
        <v>58</v>
      </c>
      <c r="D4" s="50"/>
      <c r="E4" s="181"/>
      <c r="F4" s="29"/>
      <c r="G4" s="29"/>
      <c r="N4" s="51" t="s">
        <v>59</v>
      </c>
    </row>
    <row r="5" spans="3:14" ht="14.25" customHeight="1">
      <c r="C5" s="46" t="s">
        <v>60</v>
      </c>
      <c r="D5" s="50"/>
      <c r="E5" s="181"/>
      <c r="F5" s="29"/>
      <c r="G5" s="29"/>
    </row>
    <row r="6" spans="3:14" ht="14.25" customHeight="1">
      <c r="C6" s="46" t="s">
        <v>35</v>
      </c>
      <c r="D6" s="50"/>
      <c r="E6" s="181"/>
      <c r="F6" s="29"/>
      <c r="G6" s="29"/>
      <c r="N6" s="52"/>
    </row>
    <row r="7" spans="3:14" ht="14.25" customHeight="1">
      <c r="C7" s="46" t="s">
        <v>61</v>
      </c>
      <c r="D7" s="50"/>
      <c r="E7" s="181"/>
      <c r="F7" s="29"/>
      <c r="G7" s="29"/>
      <c r="N7" s="53"/>
    </row>
    <row r="8" spans="3:14" ht="14.25" customHeight="1">
      <c r="C8" s="46" t="s">
        <v>62</v>
      </c>
      <c r="D8" s="50"/>
      <c r="E8" s="181"/>
      <c r="F8" s="29"/>
      <c r="G8" s="29"/>
      <c r="N8" s="53"/>
    </row>
    <row r="9" spans="3:14" ht="14.25" customHeight="1">
      <c r="C9" s="46" t="s">
        <v>63</v>
      </c>
      <c r="D9" s="50"/>
      <c r="E9" s="181"/>
      <c r="F9" s="29"/>
      <c r="G9" s="29"/>
      <c r="N9" s="53"/>
    </row>
    <row r="10" spans="3:14" ht="14.25" customHeight="1">
      <c r="C10" s="46" t="s">
        <v>64</v>
      </c>
      <c r="D10" s="50"/>
      <c r="E10" s="181"/>
    </row>
    <row r="11" spans="3:14" ht="14.25" customHeight="1">
      <c r="C11" s="46" t="s">
        <v>65</v>
      </c>
      <c r="D11" s="47"/>
      <c r="E11" s="181"/>
      <c r="F11" s="29"/>
      <c r="G11" s="29"/>
    </row>
    <row r="12" spans="3:14" ht="14.25" customHeight="1">
      <c r="C12" s="29"/>
      <c r="D12" s="29"/>
      <c r="E12" s="181"/>
      <c r="F12" s="29"/>
      <c r="G12" s="232" t="s">
        <v>66</v>
      </c>
      <c r="H12" s="219"/>
      <c r="I12" s="219"/>
      <c r="J12" s="219"/>
      <c r="K12" s="219"/>
      <c r="L12" s="209"/>
    </row>
    <row r="13" spans="3:14" ht="14.25" customHeight="1">
      <c r="C13" s="231" t="s">
        <v>38</v>
      </c>
      <c r="D13" s="209"/>
      <c r="E13" s="181"/>
      <c r="G13" s="54" t="s">
        <v>67</v>
      </c>
      <c r="H13" s="55" t="s">
        <v>39</v>
      </c>
      <c r="I13" s="55" t="s">
        <v>40</v>
      </c>
      <c r="J13" s="55" t="s">
        <v>41</v>
      </c>
      <c r="K13" s="55" t="s">
        <v>42</v>
      </c>
      <c r="L13" s="55" t="s">
        <v>43</v>
      </c>
    </row>
    <row r="14" spans="3:14" ht="14.4">
      <c r="C14" s="233" t="s">
        <v>165</v>
      </c>
      <c r="D14" s="209"/>
      <c r="E14" s="181"/>
      <c r="G14" s="56" t="s">
        <v>11</v>
      </c>
      <c r="H14" s="57">
        <v>3</v>
      </c>
      <c r="I14" s="57">
        <v>2</v>
      </c>
      <c r="J14" s="57">
        <v>3</v>
      </c>
      <c r="K14" s="57">
        <v>2</v>
      </c>
      <c r="L14" s="57">
        <v>0</v>
      </c>
    </row>
    <row r="15" spans="3:14" ht="14.25" customHeight="1">
      <c r="C15" s="233" t="s">
        <v>166</v>
      </c>
      <c r="D15" s="209"/>
      <c r="E15" s="181"/>
      <c r="G15" s="56" t="s">
        <v>12</v>
      </c>
      <c r="H15" s="57">
        <v>3</v>
      </c>
      <c r="I15" s="57">
        <v>3</v>
      </c>
      <c r="J15" s="57">
        <v>3</v>
      </c>
      <c r="K15" s="57">
        <v>2</v>
      </c>
      <c r="L15" s="57">
        <v>0</v>
      </c>
    </row>
    <row r="16" spans="3:14" ht="14.4">
      <c r="C16" s="233" t="s">
        <v>167</v>
      </c>
      <c r="D16" s="209"/>
      <c r="E16" s="181"/>
      <c r="G16" s="56" t="s">
        <v>15</v>
      </c>
      <c r="H16" s="57">
        <v>3</v>
      </c>
      <c r="I16" s="57">
        <v>1</v>
      </c>
      <c r="J16" s="57">
        <v>3</v>
      </c>
      <c r="K16" s="57">
        <v>2</v>
      </c>
      <c r="L16" s="57">
        <v>1</v>
      </c>
    </row>
    <row r="17" spans="3:12" ht="14.25" customHeight="1">
      <c r="C17" s="233" t="s">
        <v>168</v>
      </c>
      <c r="D17" s="209"/>
      <c r="E17" s="181"/>
      <c r="G17" s="56" t="s">
        <v>16</v>
      </c>
      <c r="H17" s="57">
        <v>3</v>
      </c>
      <c r="I17" s="57">
        <v>3</v>
      </c>
      <c r="J17" s="57">
        <v>3</v>
      </c>
      <c r="K17" s="57">
        <v>2</v>
      </c>
      <c r="L17" s="57">
        <v>1</v>
      </c>
    </row>
    <row r="18" spans="3:12" ht="14.25" customHeight="1">
      <c r="C18" s="233" t="s">
        <v>169</v>
      </c>
      <c r="D18" s="209"/>
      <c r="E18" s="181"/>
      <c r="G18" s="56"/>
      <c r="H18" s="57"/>
      <c r="I18" s="57"/>
      <c r="J18" s="57"/>
      <c r="K18" s="57"/>
      <c r="L18" s="57"/>
    </row>
    <row r="19" spans="3:12" ht="14.25" customHeight="1">
      <c r="C19" s="58"/>
      <c r="D19" s="59"/>
      <c r="E19" s="181"/>
    </row>
    <row r="20" spans="3:12" ht="14.25" customHeight="1">
      <c r="C20" s="231" t="s">
        <v>68</v>
      </c>
      <c r="D20" s="209"/>
      <c r="E20" s="181"/>
    </row>
    <row r="21" spans="3:12" ht="14.25" customHeight="1">
      <c r="C21" s="46" t="s">
        <v>69</v>
      </c>
      <c r="D21" s="50">
        <v>35</v>
      </c>
      <c r="E21" s="181"/>
    </row>
    <row r="22" spans="3:12" ht="14.25" customHeight="1">
      <c r="C22" s="46" t="s">
        <v>70</v>
      </c>
      <c r="D22" s="50">
        <v>50</v>
      </c>
      <c r="E22" s="181"/>
    </row>
    <row r="23" spans="3:12" ht="14.25" customHeight="1">
      <c r="C23" s="46" t="s">
        <v>71</v>
      </c>
      <c r="D23" s="50">
        <v>15</v>
      </c>
      <c r="E23" s="181"/>
    </row>
    <row r="24" spans="3:12" ht="14.25" customHeight="1">
      <c r="C24" s="46" t="s">
        <v>72</v>
      </c>
      <c r="D24" s="50"/>
      <c r="E24" s="181"/>
    </row>
    <row r="25" spans="3:12" ht="14.25" customHeight="1">
      <c r="C25" s="46" t="s">
        <v>73</v>
      </c>
      <c r="D25" s="60">
        <f>SUM(D21:D24)</f>
        <v>100</v>
      </c>
      <c r="E25" s="181"/>
    </row>
    <row r="26" spans="3:12" ht="14.25" customHeight="1">
      <c r="C26" s="58"/>
      <c r="D26" s="59"/>
      <c r="E26" s="59"/>
    </row>
    <row r="27" spans="3:12" ht="14.25" customHeight="1">
      <c r="C27" s="230" t="s">
        <v>171</v>
      </c>
      <c r="D27" s="230"/>
      <c r="E27" s="230"/>
    </row>
    <row r="28" spans="3:12" s="192" customFormat="1" ht="14.25" customHeight="1">
      <c r="C28" s="191" t="s">
        <v>172</v>
      </c>
      <c r="D28" s="191" t="s">
        <v>173</v>
      </c>
      <c r="E28" s="191" t="s">
        <v>174</v>
      </c>
    </row>
    <row r="29" spans="3:12" ht="14.25" customHeight="1">
      <c r="C29" s="191" t="s">
        <v>175</v>
      </c>
      <c r="D29" s="198">
        <v>80</v>
      </c>
      <c r="E29" s="198">
        <v>100</v>
      </c>
    </row>
    <row r="30" spans="3:12" ht="14.25" customHeight="1">
      <c r="C30" s="191" t="s">
        <v>176</v>
      </c>
      <c r="D30" s="198">
        <v>70</v>
      </c>
      <c r="E30" s="198">
        <v>80</v>
      </c>
    </row>
    <row r="31" spans="3:12" ht="14.25" customHeight="1">
      <c r="C31" s="191" t="s">
        <v>177</v>
      </c>
      <c r="D31" s="198">
        <v>60</v>
      </c>
      <c r="E31" s="198">
        <v>70</v>
      </c>
    </row>
    <row r="32" spans="3:12" ht="14.25" customHeight="1">
      <c r="C32" s="191" t="s">
        <v>178</v>
      </c>
      <c r="D32" s="198">
        <v>50</v>
      </c>
      <c r="E32" s="198">
        <v>60</v>
      </c>
    </row>
    <row r="33" spans="3:5" ht="14.25" customHeight="1">
      <c r="C33" s="191" t="s">
        <v>179</v>
      </c>
      <c r="D33" s="198">
        <v>40</v>
      </c>
      <c r="E33" s="198">
        <v>50</v>
      </c>
    </row>
    <row r="34" spans="3:5" ht="14.25" customHeight="1">
      <c r="C34" s="191" t="s">
        <v>180</v>
      </c>
      <c r="D34" s="198">
        <v>30</v>
      </c>
      <c r="E34" s="198">
        <v>40</v>
      </c>
    </row>
    <row r="35" spans="3:5" ht="14.25" customHeight="1">
      <c r="C35" s="191" t="s">
        <v>181</v>
      </c>
      <c r="D35" s="198">
        <v>0</v>
      </c>
      <c r="E35" s="198">
        <v>30</v>
      </c>
    </row>
    <row r="36" spans="3:5" ht="14.25" customHeight="1"/>
    <row r="37" spans="3:5" ht="14.25" customHeight="1"/>
    <row r="38" spans="3:5" ht="14.25" customHeight="1"/>
    <row r="39" spans="3:5" ht="14.25" customHeight="1"/>
    <row r="40" spans="3:5" ht="14.25" customHeight="1"/>
    <row r="41" spans="3:5" ht="14.25" customHeight="1"/>
    <row r="42" spans="3:5" ht="14.25" customHeight="1"/>
    <row r="43" spans="3:5" ht="14.25" customHeight="1"/>
    <row r="44" spans="3:5" ht="14.25" customHeight="1"/>
    <row r="45" spans="3:5" ht="14.25" customHeight="1"/>
    <row r="46" spans="3:5" ht="14.25" customHeight="1"/>
    <row r="47" spans="3:5" ht="14.25" customHeight="1"/>
    <row r="48" spans="3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27:E27"/>
    <mergeCell ref="C20:D20"/>
    <mergeCell ref="G12:L12"/>
    <mergeCell ref="C13:D13"/>
    <mergeCell ref="C14:D14"/>
    <mergeCell ref="C15:D15"/>
    <mergeCell ref="C16:D16"/>
    <mergeCell ref="C17:D17"/>
    <mergeCell ref="C18:D18"/>
  </mergeCells>
  <dataValidations count="5">
    <dataValidation type="list" allowBlank="1" showErrorMessage="1" sqref="D8:E8" xr:uid="{00000000-0002-0000-0200-000000000000}">
      <formula1>"I,II,III,IV"</formula1>
    </dataValidation>
    <dataValidation type="list" allowBlank="1" showErrorMessage="1" sqref="D6:E6" xr:uid="{00000000-0002-0000-0200-000001000000}">
      <formula1>"B. Tech,M. Tech"</formula1>
    </dataValidation>
    <dataValidation type="list" allowBlank="1" showErrorMessage="1" sqref="D9:E9" xr:uid="{00000000-0002-0000-0200-000002000000}">
      <formula1>"I,II,III,IV,V,VI,VII,VIII"</formula1>
    </dataValidation>
    <dataValidation type="list" allowBlank="1" showErrorMessage="1" sqref="D7:E7" xr:uid="{00000000-0002-0000-0200-000003000000}">
      <formula1>"N/A,HV,ICS,IPA,PE,PS"</formula1>
    </dataValidation>
    <dataValidation type="list" allowBlank="1" showErrorMessage="1" sqref="D5:E5" xr:uid="{00000000-0002-0000-0200-000004000000}">
      <formula1>"Winter,Monsoon"</formula1>
    </dataValidation>
  </dataValidations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1000"/>
  <sheetViews>
    <sheetView workbookViewId="0"/>
  </sheetViews>
  <sheetFormatPr defaultColWidth="14.44140625" defaultRowHeight="15" customHeight="1"/>
  <cols>
    <col min="1" max="1" width="8.6640625" customWidth="1"/>
    <col min="2" max="2" width="12.6640625" customWidth="1"/>
    <col min="3" max="3" width="34.33203125" customWidth="1"/>
    <col min="4" max="7" width="8.6640625" customWidth="1"/>
    <col min="8" max="15" width="5.6640625" customWidth="1"/>
    <col min="16" max="16" width="6.5546875" customWidth="1"/>
    <col min="17" max="18" width="4.6640625" customWidth="1"/>
    <col min="19" max="26" width="8.6640625" customWidth="1"/>
  </cols>
  <sheetData>
    <row r="1" spans="2:19" ht="14.25" customHeight="1"/>
    <row r="2" spans="2:19" ht="14.25" customHeight="1">
      <c r="C2" s="29"/>
      <c r="D2" s="226"/>
      <c r="E2" s="223"/>
      <c r="F2" s="223"/>
      <c r="G2" s="223"/>
    </row>
    <row r="3" spans="2:19" ht="14.25" customHeight="1">
      <c r="C3" s="29"/>
      <c r="D3" s="226"/>
      <c r="E3" s="223"/>
      <c r="F3" s="223"/>
      <c r="G3" s="223"/>
    </row>
    <row r="4" spans="2:19" ht="14.25" customHeight="1">
      <c r="C4" s="29"/>
      <c r="D4" s="226"/>
      <c r="E4" s="223"/>
      <c r="F4" s="223"/>
      <c r="G4" s="223"/>
    </row>
    <row r="5" spans="2:19" ht="14.25" customHeight="1">
      <c r="C5" s="29"/>
      <c r="D5" s="38"/>
    </row>
    <row r="6" spans="2:19" ht="14.25" customHeight="1">
      <c r="C6" s="29"/>
      <c r="D6" s="38"/>
    </row>
    <row r="7" spans="2:19" ht="14.25" customHeight="1">
      <c r="C7" s="29"/>
      <c r="D7" s="226"/>
      <c r="E7" s="223"/>
      <c r="F7" s="223"/>
      <c r="G7" s="223"/>
    </row>
    <row r="8" spans="2:19" ht="14.25" customHeight="1">
      <c r="C8" s="29" t="s">
        <v>54</v>
      </c>
      <c r="D8" s="29">
        <f>'Front page'!D2</f>
        <v>0</v>
      </c>
      <c r="E8" s="29"/>
      <c r="F8" s="29"/>
      <c r="G8" s="29"/>
      <c r="H8" s="29"/>
    </row>
    <row r="9" spans="2:19" ht="14.25" customHeight="1">
      <c r="C9" s="29" t="s">
        <v>56</v>
      </c>
      <c r="D9" s="29">
        <f>'Front page'!D3</f>
        <v>0</v>
      </c>
      <c r="E9" s="29"/>
      <c r="F9" s="29"/>
      <c r="G9" s="29"/>
      <c r="H9" s="29"/>
    </row>
    <row r="10" spans="2:19" ht="14.25" customHeight="1">
      <c r="C10" s="29" t="s">
        <v>60</v>
      </c>
      <c r="D10" s="29">
        <f>'Front page'!D9</f>
        <v>0</v>
      </c>
      <c r="E10" s="29"/>
      <c r="F10" s="29"/>
      <c r="G10" s="29"/>
      <c r="H10" s="29"/>
    </row>
    <row r="11" spans="2:19" ht="14.25" customHeight="1">
      <c r="C11" s="29" t="s">
        <v>64</v>
      </c>
      <c r="D11" s="29">
        <f>'Front page'!D10</f>
        <v>0</v>
      </c>
      <c r="E11" s="29"/>
      <c r="F11" s="29"/>
      <c r="G11" s="29"/>
      <c r="H11" s="29"/>
    </row>
    <row r="12" spans="2:19" ht="14.25" customHeight="1">
      <c r="C12" s="29" t="s">
        <v>65</v>
      </c>
      <c r="D12" s="29">
        <f>'Front page'!D11</f>
        <v>0</v>
      </c>
      <c r="E12" s="29"/>
      <c r="F12" s="29"/>
      <c r="G12" s="29"/>
      <c r="H12" s="29"/>
    </row>
    <row r="13" spans="2:19" ht="14.25" customHeight="1">
      <c r="C13" s="36"/>
      <c r="D13" s="36"/>
    </row>
    <row r="14" spans="2:19" ht="30" customHeight="1">
      <c r="B14" s="234"/>
      <c r="C14" s="209"/>
      <c r="D14" s="61" t="s">
        <v>39</v>
      </c>
      <c r="E14" s="61" t="s">
        <v>40</v>
      </c>
      <c r="F14" s="61" t="s">
        <v>41</v>
      </c>
      <c r="G14" s="61" t="s">
        <v>42</v>
      </c>
      <c r="H14" s="61" t="s">
        <v>43</v>
      </c>
      <c r="I14" s="61" t="s">
        <v>74</v>
      </c>
      <c r="J14" s="61" t="s">
        <v>75</v>
      </c>
      <c r="K14" s="61" t="s">
        <v>76</v>
      </c>
      <c r="L14" s="61" t="s">
        <v>77</v>
      </c>
      <c r="M14" s="61" t="s">
        <v>78</v>
      </c>
      <c r="N14" s="61" t="s">
        <v>79</v>
      </c>
      <c r="O14" s="61" t="s">
        <v>80</v>
      </c>
      <c r="P14" s="61" t="s">
        <v>81</v>
      </c>
      <c r="Q14" s="61" t="s">
        <v>82</v>
      </c>
      <c r="R14" s="61" t="s">
        <v>83</v>
      </c>
      <c r="S14" s="61" t="s">
        <v>84</v>
      </c>
    </row>
    <row r="15" spans="2:19" ht="30" customHeight="1">
      <c r="B15" s="62" t="s">
        <v>11</v>
      </c>
      <c r="C15" s="63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2:19" ht="47.25" customHeight="1">
      <c r="B16" s="62" t="s">
        <v>12</v>
      </c>
      <c r="C16" s="63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2:19" ht="47.25" customHeight="1">
      <c r="B17" s="62" t="s">
        <v>15</v>
      </c>
      <c r="C17" s="63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2:19" ht="47.25" customHeight="1">
      <c r="B18" s="62" t="s">
        <v>16</v>
      </c>
      <c r="C18" s="63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2:19" ht="30" customHeight="1">
      <c r="B19" s="62" t="s">
        <v>20</v>
      </c>
      <c r="C19" s="6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2:19" ht="14.25" customHeight="1"/>
    <row r="21" spans="2:19" ht="18" customHeight="1">
      <c r="C21" s="235" t="s">
        <v>85</v>
      </c>
      <c r="D21" s="64">
        <v>3</v>
      </c>
      <c r="E21" s="237" t="s">
        <v>86</v>
      </c>
      <c r="F21" s="219"/>
      <c r="G21" s="219"/>
      <c r="H21" s="219"/>
      <c r="I21" s="209"/>
    </row>
    <row r="22" spans="2:19" ht="14.25" customHeight="1">
      <c r="C22" s="211"/>
      <c r="D22" s="64">
        <v>2</v>
      </c>
      <c r="E22" s="238" t="s">
        <v>87</v>
      </c>
      <c r="F22" s="219"/>
      <c r="G22" s="219"/>
      <c r="H22" s="219"/>
      <c r="I22" s="209"/>
    </row>
    <row r="23" spans="2:19" ht="14.25" customHeight="1">
      <c r="C23" s="211"/>
      <c r="D23" s="64">
        <v>1</v>
      </c>
      <c r="E23" s="238" t="s">
        <v>88</v>
      </c>
      <c r="F23" s="219"/>
      <c r="G23" s="219"/>
      <c r="H23" s="219"/>
      <c r="I23" s="209"/>
    </row>
    <row r="24" spans="2:19" ht="15.75" customHeight="1">
      <c r="C24" s="236"/>
      <c r="D24" s="64">
        <v>0</v>
      </c>
      <c r="E24" s="237" t="s">
        <v>89</v>
      </c>
      <c r="F24" s="219"/>
      <c r="G24" s="219"/>
      <c r="H24" s="219"/>
      <c r="I24" s="209"/>
    </row>
    <row r="25" spans="2:19" ht="14.25" customHeight="1"/>
    <row r="26" spans="2:19" ht="29.25" customHeight="1"/>
    <row r="27" spans="2:19" ht="14.25" customHeight="1"/>
    <row r="28" spans="2:19" ht="14.25" customHeight="1"/>
    <row r="29" spans="2:19" ht="14.25" customHeight="1"/>
    <row r="30" spans="2:19" ht="14.25" customHeight="1"/>
    <row r="31" spans="2:19" ht="14.25" customHeight="1"/>
    <row r="32" spans="2:19" ht="14.25" customHeight="1"/>
    <row r="33" spans="2:3" ht="14.25" customHeight="1"/>
    <row r="34" spans="2:3" ht="14.25" customHeight="1"/>
    <row r="35" spans="2:3" ht="14.25" customHeight="1"/>
    <row r="36" spans="2:3" ht="14.25" customHeight="1"/>
    <row r="37" spans="2:3" ht="14.25" customHeight="1"/>
    <row r="38" spans="2:3" ht="14.25" customHeight="1"/>
    <row r="39" spans="2:3" ht="14.25" customHeight="1"/>
    <row r="40" spans="2:3" ht="14.25" customHeight="1"/>
    <row r="41" spans="2:3" ht="14.25" customHeight="1"/>
    <row r="42" spans="2:3" ht="14.25" customHeight="1"/>
    <row r="43" spans="2:3" ht="14.25" customHeight="1">
      <c r="B43" s="37"/>
      <c r="C43" s="37"/>
    </row>
    <row r="44" spans="2:3" ht="14.25" customHeight="1"/>
    <row r="45" spans="2:3" ht="14.25" customHeight="1"/>
    <row r="46" spans="2:3" ht="14.25" customHeight="1"/>
    <row r="47" spans="2:3" ht="14.25" customHeight="1"/>
    <row r="48" spans="2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C21:C24"/>
    <mergeCell ref="E21:I21"/>
    <mergeCell ref="E24:I24"/>
    <mergeCell ref="E22:I22"/>
    <mergeCell ref="E23:I23"/>
    <mergeCell ref="D2:G2"/>
    <mergeCell ref="D3:G3"/>
    <mergeCell ref="D4:G4"/>
    <mergeCell ref="D7:G7"/>
    <mergeCell ref="B14:C1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B1000"/>
  <sheetViews>
    <sheetView topLeftCell="BK11" workbookViewId="0">
      <selection activeCell="CD19" sqref="CD19"/>
    </sheetView>
  </sheetViews>
  <sheetFormatPr defaultColWidth="14.44140625" defaultRowHeight="15" customHeight="1"/>
  <cols>
    <col min="1" max="1" width="8.88671875" customWidth="1"/>
    <col min="2" max="2" width="7.21875" bestFit="1" customWidth="1"/>
    <col min="3" max="3" width="22.77734375" bestFit="1" customWidth="1"/>
    <col min="4" max="7" width="6.109375" bestFit="1" customWidth="1"/>
    <col min="8" max="8" width="5.44140625" customWidth="1"/>
    <col min="9" max="10" width="6.109375" bestFit="1" customWidth="1"/>
    <col min="11" max="12" width="5.44140625" bestFit="1" customWidth="1"/>
    <col min="13" max="15" width="5.109375" hidden="1" customWidth="1"/>
    <col min="16" max="16" width="6.109375" bestFit="1" customWidth="1"/>
    <col min="17" max="19" width="5.109375" hidden="1" customWidth="1"/>
    <col min="20" max="20" width="5.44140625" bestFit="1" customWidth="1"/>
    <col min="21" max="21" width="5.109375" hidden="1" customWidth="1"/>
    <col min="22" max="22" width="5.5546875" bestFit="1" customWidth="1"/>
    <col min="23" max="23" width="9.109375" customWidth="1"/>
    <col min="24" max="26" width="5.109375" bestFit="1" customWidth="1"/>
    <col min="27" max="28" width="5.109375" hidden="1" customWidth="1"/>
    <col min="29" max="30" width="5.109375" bestFit="1" customWidth="1"/>
    <col min="31" max="33" width="5.109375" hidden="1" customWidth="1"/>
    <col min="34" max="36" width="5.109375" bestFit="1" customWidth="1"/>
    <col min="37" max="38" width="5.109375" hidden="1" customWidth="1"/>
    <col min="39" max="40" width="5.109375" bestFit="1" customWidth="1"/>
    <col min="41" max="48" width="5.109375" hidden="1" customWidth="1"/>
    <col min="49" max="49" width="5.5546875" bestFit="1" customWidth="1"/>
    <col min="50" max="54" width="8.88671875" customWidth="1"/>
  </cols>
  <sheetData>
    <row r="1" spans="1:80" ht="14.25" customHeight="1">
      <c r="A1" s="65"/>
      <c r="B1" s="40"/>
      <c r="C1" s="40"/>
      <c r="D1" s="65"/>
      <c r="E1" s="40"/>
      <c r="F1" s="40"/>
      <c r="G1" s="40"/>
      <c r="H1" s="40"/>
      <c r="I1" s="65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80" ht="14.25" customHeight="1">
      <c r="A2" s="65"/>
      <c r="B2" s="40"/>
      <c r="C2" s="40"/>
      <c r="D2" s="241" t="s">
        <v>45</v>
      </c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09"/>
      <c r="W2" s="181"/>
      <c r="X2" s="251" t="s">
        <v>46</v>
      </c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1"/>
      <c r="AX2" s="252"/>
      <c r="AY2" s="40"/>
      <c r="AZ2" s="40"/>
      <c r="BA2" s="40"/>
      <c r="BB2" s="40"/>
    </row>
    <row r="3" spans="1:80" ht="14.25" customHeight="1">
      <c r="A3" s="65"/>
      <c r="B3" s="40"/>
      <c r="C3" s="40"/>
      <c r="D3" s="67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9"/>
      <c r="Q3" s="69"/>
      <c r="R3" s="69"/>
      <c r="S3" s="69"/>
      <c r="T3" s="69"/>
      <c r="U3" s="69"/>
      <c r="V3" s="70"/>
      <c r="W3" s="182"/>
      <c r="X3" s="182"/>
      <c r="Y3" s="182"/>
      <c r="Z3" s="182"/>
      <c r="AA3" s="182"/>
      <c r="AB3" s="182"/>
      <c r="AC3" s="182"/>
      <c r="AD3" s="182"/>
      <c r="AE3" s="182"/>
      <c r="AF3" s="65"/>
      <c r="AG3" s="65"/>
      <c r="AH3" s="65"/>
      <c r="AI3" s="40"/>
      <c r="AJ3" s="242"/>
      <c r="AK3" s="243"/>
      <c r="AL3" s="243"/>
      <c r="AM3" s="243"/>
      <c r="AN3" s="243"/>
      <c r="AO3" s="243"/>
      <c r="AP3" s="243"/>
      <c r="AQ3" s="244"/>
      <c r="AR3" s="71"/>
      <c r="AS3" s="66"/>
      <c r="AT3" s="40"/>
      <c r="AU3" s="40"/>
      <c r="AV3" s="40"/>
      <c r="AW3" s="40"/>
      <c r="AX3" s="40"/>
      <c r="AY3" s="40"/>
      <c r="AZ3" s="40"/>
      <c r="BA3" s="40"/>
      <c r="BB3" s="40"/>
    </row>
    <row r="4" spans="1:80" ht="28.5" customHeight="1">
      <c r="A4" s="65"/>
      <c r="B4" s="40"/>
      <c r="C4" s="40"/>
      <c r="D4" s="72" t="s">
        <v>11</v>
      </c>
      <c r="E4" s="72" t="s">
        <v>11</v>
      </c>
      <c r="F4" s="72" t="s">
        <v>11</v>
      </c>
      <c r="G4" s="72" t="s">
        <v>11</v>
      </c>
      <c r="H4" s="72" t="s">
        <v>11</v>
      </c>
      <c r="I4" s="72" t="s">
        <v>12</v>
      </c>
      <c r="J4" s="72" t="s">
        <v>12</v>
      </c>
      <c r="K4" s="73" t="s">
        <v>12</v>
      </c>
      <c r="L4" s="73" t="s">
        <v>12</v>
      </c>
      <c r="M4" s="73" t="s">
        <v>12</v>
      </c>
      <c r="N4" s="73" t="s">
        <v>12</v>
      </c>
      <c r="O4" s="72" t="s">
        <v>12</v>
      </c>
      <c r="P4" s="72" t="s">
        <v>15</v>
      </c>
      <c r="Q4" s="72" t="s">
        <v>15</v>
      </c>
      <c r="R4" s="72" t="s">
        <v>15</v>
      </c>
      <c r="S4" s="72" t="s">
        <v>15</v>
      </c>
      <c r="T4" s="72" t="s">
        <v>16</v>
      </c>
      <c r="U4" s="72" t="s">
        <v>16</v>
      </c>
      <c r="V4" s="74"/>
      <c r="W4" s="183"/>
      <c r="X4" s="72" t="s">
        <v>11</v>
      </c>
      <c r="Y4" s="72" t="s">
        <v>11</v>
      </c>
      <c r="Z4" s="72" t="s">
        <v>11</v>
      </c>
      <c r="AA4" s="72" t="s">
        <v>11</v>
      </c>
      <c r="AB4" s="72" t="s">
        <v>11</v>
      </c>
      <c r="AC4" s="72" t="s">
        <v>12</v>
      </c>
      <c r="AD4" s="72" t="s">
        <v>12</v>
      </c>
      <c r="AE4" s="73" t="s">
        <v>12</v>
      </c>
      <c r="AF4" s="73" t="s">
        <v>12</v>
      </c>
      <c r="AG4" s="72" t="s">
        <v>12</v>
      </c>
      <c r="AH4" s="72" t="s">
        <v>15</v>
      </c>
      <c r="AI4" s="72" t="s">
        <v>15</v>
      </c>
      <c r="AJ4" s="72" t="s">
        <v>15</v>
      </c>
      <c r="AK4" s="72" t="s">
        <v>15</v>
      </c>
      <c r="AL4" s="72" t="s">
        <v>15</v>
      </c>
      <c r="AM4" s="72" t="s">
        <v>16</v>
      </c>
      <c r="AN4" s="72" t="s">
        <v>16</v>
      </c>
      <c r="AO4" s="72" t="s">
        <v>16</v>
      </c>
      <c r="AP4" s="72" t="s">
        <v>16</v>
      </c>
      <c r="AQ4" s="72" t="s">
        <v>16</v>
      </c>
      <c r="AR4" s="72" t="s">
        <v>20</v>
      </c>
      <c r="AS4" s="72" t="s">
        <v>20</v>
      </c>
      <c r="AT4" s="72" t="s">
        <v>20</v>
      </c>
      <c r="AU4" s="72" t="s">
        <v>20</v>
      </c>
      <c r="AV4" s="73" t="s">
        <v>20</v>
      </c>
      <c r="AW4" s="74"/>
      <c r="AX4" s="40"/>
      <c r="AY4" s="239" t="s">
        <v>11</v>
      </c>
      <c r="AZ4" s="240"/>
      <c r="BA4" s="239" t="s">
        <v>12</v>
      </c>
      <c r="BB4" s="240"/>
      <c r="BC4" s="239" t="s">
        <v>15</v>
      </c>
      <c r="BD4" s="240"/>
      <c r="BE4" s="239" t="s">
        <v>16</v>
      </c>
      <c r="BF4" s="240"/>
      <c r="BG4" s="75"/>
      <c r="BH4" s="66"/>
      <c r="BI4" s="253" t="s">
        <v>170</v>
      </c>
      <c r="BJ4" s="254"/>
      <c r="BK4" s="255"/>
      <c r="BL4" s="193" t="s">
        <v>178</v>
      </c>
      <c r="BM4" s="256" t="s">
        <v>90</v>
      </c>
      <c r="BN4" s="219"/>
      <c r="BO4" s="209"/>
      <c r="BP4" s="193" t="s">
        <v>178</v>
      </c>
      <c r="BQ4" s="256" t="s">
        <v>91</v>
      </c>
      <c r="BR4" s="219"/>
      <c r="BS4" s="209"/>
      <c r="BT4" s="193" t="s">
        <v>178</v>
      </c>
      <c r="BU4" s="256" t="s">
        <v>92</v>
      </c>
      <c r="BV4" s="219"/>
      <c r="BW4" s="209"/>
      <c r="BX4" s="193" t="s">
        <v>178</v>
      </c>
      <c r="BY4" s="256" t="s">
        <v>93</v>
      </c>
      <c r="BZ4" s="219"/>
      <c r="CA4" s="209"/>
      <c r="CB4" s="193" t="s">
        <v>178</v>
      </c>
    </row>
    <row r="5" spans="1:80" ht="26.4">
      <c r="A5" s="65"/>
      <c r="B5" s="40"/>
      <c r="C5" s="40"/>
      <c r="D5" s="76" t="s">
        <v>94</v>
      </c>
      <c r="E5" s="76" t="s">
        <v>95</v>
      </c>
      <c r="F5" s="76" t="s">
        <v>96</v>
      </c>
      <c r="G5" s="76" t="s">
        <v>97</v>
      </c>
      <c r="H5" s="76" t="s">
        <v>98</v>
      </c>
      <c r="I5" s="76" t="s">
        <v>99</v>
      </c>
      <c r="J5" s="76" t="s">
        <v>100</v>
      </c>
      <c r="K5" s="77" t="s">
        <v>101</v>
      </c>
      <c r="L5" s="77" t="s">
        <v>102</v>
      </c>
      <c r="M5" s="77"/>
      <c r="N5" s="77"/>
      <c r="O5" s="78"/>
      <c r="P5" s="78" t="s">
        <v>103</v>
      </c>
      <c r="Q5" s="79"/>
      <c r="R5" s="79"/>
      <c r="S5" s="79"/>
      <c r="T5" s="79" t="s">
        <v>104</v>
      </c>
      <c r="U5" s="79"/>
      <c r="V5" s="74" t="s">
        <v>73</v>
      </c>
      <c r="W5" s="183"/>
      <c r="X5" s="79" t="s">
        <v>116</v>
      </c>
      <c r="Y5" s="79" t="s">
        <v>117</v>
      </c>
      <c r="Z5" s="79" t="s">
        <v>118</v>
      </c>
      <c r="AA5" s="79"/>
      <c r="AB5" s="79"/>
      <c r="AC5" s="79" t="s">
        <v>119</v>
      </c>
      <c r="AD5" s="79" t="s">
        <v>120</v>
      </c>
      <c r="AE5" s="79"/>
      <c r="AF5" s="79"/>
      <c r="AG5" s="79"/>
      <c r="AH5" s="79" t="s">
        <v>121</v>
      </c>
      <c r="AI5" s="79" t="s">
        <v>122</v>
      </c>
      <c r="AJ5" s="79" t="s">
        <v>123</v>
      </c>
      <c r="AK5" s="79"/>
      <c r="AL5" s="79"/>
      <c r="AM5" s="79" t="s">
        <v>124</v>
      </c>
      <c r="AN5" s="79" t="s">
        <v>125</v>
      </c>
      <c r="AO5" s="79"/>
      <c r="AP5" s="79"/>
      <c r="AQ5" s="79"/>
      <c r="AR5" s="79"/>
      <c r="AS5" s="79"/>
      <c r="AT5" s="79"/>
      <c r="AU5" s="79"/>
      <c r="AV5" s="79"/>
      <c r="AW5" s="72" t="s">
        <v>73</v>
      </c>
      <c r="AX5" s="40"/>
      <c r="AY5" s="80" t="s">
        <v>105</v>
      </c>
      <c r="AZ5" s="80" t="s">
        <v>106</v>
      </c>
      <c r="BA5" s="80" t="s">
        <v>105</v>
      </c>
      <c r="BB5" s="80" t="s">
        <v>106</v>
      </c>
      <c r="BC5" s="80" t="s">
        <v>105</v>
      </c>
      <c r="BD5" s="80" t="s">
        <v>106</v>
      </c>
      <c r="BE5" s="80" t="s">
        <v>105</v>
      </c>
      <c r="BF5" s="80" t="s">
        <v>106</v>
      </c>
      <c r="BG5" s="75"/>
      <c r="BH5" s="66"/>
      <c r="BI5" s="80" t="s">
        <v>105</v>
      </c>
      <c r="BJ5" s="80" t="s">
        <v>106</v>
      </c>
      <c r="BK5" s="80" t="s">
        <v>107</v>
      </c>
      <c r="BL5" s="80" t="s">
        <v>108</v>
      </c>
      <c r="BM5" s="80" t="s">
        <v>105</v>
      </c>
      <c r="BN5" s="80" t="s">
        <v>106</v>
      </c>
      <c r="BO5" s="80" t="s">
        <v>107</v>
      </c>
      <c r="BP5" s="80" t="s">
        <v>108</v>
      </c>
      <c r="BQ5" s="80" t="s">
        <v>105</v>
      </c>
      <c r="BR5" s="80" t="s">
        <v>106</v>
      </c>
      <c r="BS5" s="80" t="s">
        <v>107</v>
      </c>
      <c r="BT5" s="80" t="s">
        <v>108</v>
      </c>
      <c r="BU5" s="80" t="s">
        <v>105</v>
      </c>
      <c r="BV5" s="80" t="s">
        <v>106</v>
      </c>
      <c r="BW5" s="80" t="s">
        <v>107</v>
      </c>
      <c r="BX5" s="80" t="s">
        <v>108</v>
      </c>
      <c r="BY5" s="80" t="s">
        <v>105</v>
      </c>
      <c r="BZ5" s="80" t="s">
        <v>106</v>
      </c>
      <c r="CA5" s="80" t="s">
        <v>107</v>
      </c>
      <c r="CB5" s="80" t="s">
        <v>108</v>
      </c>
    </row>
    <row r="6" spans="1:80" ht="14.25" customHeight="1">
      <c r="A6" s="65"/>
      <c r="B6" s="40"/>
      <c r="C6" s="81" t="s">
        <v>109</v>
      </c>
      <c r="D6" s="79">
        <v>5</v>
      </c>
      <c r="E6" s="77">
        <v>5</v>
      </c>
      <c r="F6" s="77">
        <v>5</v>
      </c>
      <c r="G6" s="77">
        <v>5</v>
      </c>
      <c r="H6" s="77">
        <v>5</v>
      </c>
      <c r="I6" s="77">
        <v>5</v>
      </c>
      <c r="J6" s="77">
        <v>5</v>
      </c>
      <c r="K6" s="77">
        <v>5</v>
      </c>
      <c r="L6" s="77">
        <v>5</v>
      </c>
      <c r="M6" s="77"/>
      <c r="N6" s="77"/>
      <c r="O6" s="82"/>
      <c r="P6" s="77">
        <v>5</v>
      </c>
      <c r="Q6" s="79"/>
      <c r="R6" s="79"/>
      <c r="S6" s="79"/>
      <c r="T6" s="79">
        <v>5</v>
      </c>
      <c r="U6" s="79"/>
      <c r="V6" s="83">
        <f>SUM(D6:G6,I6:J6,P6)+(3*(H6+K6+L6+T6)/4)</f>
        <v>50</v>
      </c>
      <c r="W6" s="183"/>
      <c r="X6" s="116">
        <v>5</v>
      </c>
      <c r="Y6" s="116">
        <v>5</v>
      </c>
      <c r="Z6" s="116">
        <v>5</v>
      </c>
      <c r="AA6" s="116"/>
      <c r="AB6" s="116"/>
      <c r="AC6" s="117">
        <v>5</v>
      </c>
      <c r="AD6" s="117">
        <v>5</v>
      </c>
      <c r="AE6" s="117"/>
      <c r="AF6" s="117"/>
      <c r="AG6" s="117"/>
      <c r="AH6" s="117">
        <v>5</v>
      </c>
      <c r="AI6" s="117">
        <v>5</v>
      </c>
      <c r="AJ6" s="117">
        <v>5</v>
      </c>
      <c r="AK6" s="117"/>
      <c r="AL6" s="117"/>
      <c r="AM6" s="117">
        <v>5</v>
      </c>
      <c r="AN6" s="117">
        <v>5</v>
      </c>
      <c r="AO6" s="116"/>
      <c r="AP6" s="118"/>
      <c r="AQ6" s="118"/>
      <c r="AR6" s="118"/>
      <c r="AS6" s="118"/>
      <c r="AT6" s="118"/>
      <c r="AU6" s="118"/>
      <c r="AV6" s="118"/>
      <c r="AW6" s="119">
        <f>SUM(X6:AV6)</f>
        <v>50</v>
      </c>
      <c r="AX6" s="40"/>
      <c r="AY6" s="84"/>
      <c r="AZ6" s="84"/>
      <c r="BA6" s="84"/>
      <c r="BB6" s="84"/>
      <c r="BC6" s="84"/>
      <c r="BD6" s="84"/>
      <c r="BE6" s="84"/>
      <c r="BF6" s="84"/>
      <c r="BG6" s="75"/>
      <c r="BH6" s="66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</row>
    <row r="7" spans="1:80" ht="14.25" customHeight="1">
      <c r="A7" s="85" t="s">
        <v>110</v>
      </c>
      <c r="B7" s="81" t="s">
        <v>111</v>
      </c>
      <c r="C7" s="81" t="s">
        <v>112</v>
      </c>
      <c r="D7" s="86"/>
      <c r="E7" s="87"/>
      <c r="F7" s="87"/>
      <c r="G7" s="87"/>
      <c r="H7" s="87"/>
      <c r="I7" s="87"/>
      <c r="J7" s="87"/>
      <c r="K7" s="88"/>
      <c r="L7" s="88"/>
      <c r="M7" s="88"/>
      <c r="N7" s="88"/>
      <c r="O7" s="88"/>
      <c r="P7" s="88"/>
      <c r="Q7" s="9"/>
      <c r="R7" s="9"/>
      <c r="S7" s="9"/>
      <c r="T7" s="9"/>
      <c r="U7" s="9"/>
      <c r="V7" s="9"/>
      <c r="W7" s="183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1"/>
      <c r="AV7" s="121"/>
      <c r="AW7" s="120"/>
      <c r="AX7" s="87"/>
      <c r="AY7" s="112">
        <f>SUM(D6:G6,X6:Z6,3*H6/4)</f>
        <v>38.75</v>
      </c>
      <c r="AZ7" s="187"/>
      <c r="BA7" s="112">
        <f>SUM(I6:J6,AC6:AD6,3*(K6+L6)/4)</f>
        <v>27.5</v>
      </c>
      <c r="BB7" s="187"/>
      <c r="BC7" s="112">
        <f>SUM(P6,AH6:AJ6)</f>
        <v>20</v>
      </c>
      <c r="BD7" s="187"/>
      <c r="BE7" s="112">
        <f>SUM(3*T6/4,AM6:AN6)</f>
        <v>13.75</v>
      </c>
      <c r="BF7" s="187"/>
      <c r="BG7" s="91"/>
      <c r="BH7" s="92"/>
      <c r="BI7" s="112">
        <f t="shared" ref="BI7:BI221" si="0">$AY$7</f>
        <v>38.75</v>
      </c>
      <c r="BJ7" s="190"/>
      <c r="BK7" s="190"/>
      <c r="BL7" s="190"/>
      <c r="BM7" s="112">
        <f t="shared" ref="BM7:BM221" si="1">$BA$7</f>
        <v>27.5</v>
      </c>
      <c r="BN7" s="190"/>
      <c r="BO7" s="190"/>
      <c r="BP7" s="190"/>
      <c r="BQ7" s="112">
        <f t="shared" ref="BQ7:BQ221" si="2">$BC$7</f>
        <v>20</v>
      </c>
      <c r="BR7" s="190"/>
      <c r="BS7" s="190"/>
      <c r="BT7" s="190"/>
      <c r="BU7" s="112">
        <f t="shared" ref="BU7:BU221" si="3">$BE$7</f>
        <v>13.75</v>
      </c>
      <c r="BV7" s="190"/>
      <c r="BW7" s="190"/>
      <c r="BX7" s="190"/>
      <c r="BY7" s="112" t="e">
        <f t="shared" ref="BY7:BY221" si="4">#REF!</f>
        <v>#REF!</v>
      </c>
      <c r="BZ7" s="190"/>
      <c r="CA7" s="190"/>
      <c r="CB7" s="190"/>
    </row>
    <row r="8" spans="1:80" ht="14.25" customHeight="1">
      <c r="A8" s="93">
        <v>1</v>
      </c>
      <c r="B8" s="94"/>
      <c r="C8" s="94"/>
      <c r="D8" s="77">
        <v>2.5</v>
      </c>
      <c r="E8" s="77">
        <v>1</v>
      </c>
      <c r="F8" s="77">
        <v>1.5</v>
      </c>
      <c r="G8" s="77">
        <v>1.5</v>
      </c>
      <c r="H8" s="77">
        <v>4.75</v>
      </c>
      <c r="I8" s="77">
        <v>4</v>
      </c>
      <c r="J8" s="77">
        <v>2.5</v>
      </c>
      <c r="K8" s="95">
        <v>5</v>
      </c>
      <c r="L8" s="95">
        <v>4.75</v>
      </c>
      <c r="M8" s="95"/>
      <c r="N8" s="95"/>
      <c r="O8" s="82"/>
      <c r="P8" s="77">
        <v>3</v>
      </c>
      <c r="Q8" s="96"/>
      <c r="R8" s="96"/>
      <c r="S8" s="77"/>
      <c r="T8" s="77">
        <v>5</v>
      </c>
      <c r="U8" s="77"/>
      <c r="V8" s="83">
        <f t="shared" ref="V8:V34" si="5">ROUND(SUM(D8:G8,I8:J8,P8)+(3*(H8+K8+L8+T8)/4),0)</f>
        <v>31</v>
      </c>
      <c r="W8" s="183"/>
      <c r="X8" s="122">
        <v>1.5</v>
      </c>
      <c r="Y8" s="96">
        <v>5</v>
      </c>
      <c r="Z8" s="117">
        <v>1.5</v>
      </c>
      <c r="AA8" s="117"/>
      <c r="AB8" s="117"/>
      <c r="AC8" s="96">
        <v>5</v>
      </c>
      <c r="AD8" s="123">
        <v>1</v>
      </c>
      <c r="AE8" s="96"/>
      <c r="AF8" s="123"/>
      <c r="AG8" s="123"/>
      <c r="AH8" s="96">
        <v>2.5</v>
      </c>
      <c r="AI8" s="96">
        <v>5</v>
      </c>
      <c r="AJ8" s="117">
        <v>5</v>
      </c>
      <c r="AK8" s="117"/>
      <c r="AL8" s="117"/>
      <c r="AM8" s="123">
        <v>1.5</v>
      </c>
      <c r="AN8" s="117">
        <v>1</v>
      </c>
      <c r="AO8" s="117"/>
      <c r="AP8" s="117"/>
      <c r="AQ8" s="117"/>
      <c r="AR8" s="117"/>
      <c r="AS8" s="124"/>
      <c r="AT8" s="117"/>
      <c r="AU8" s="117"/>
      <c r="AV8" s="125"/>
      <c r="AW8" s="126">
        <f t="shared" ref="AW8:AW34" si="6">SUM(X8:AV8)</f>
        <v>29</v>
      </c>
      <c r="AX8" s="40"/>
      <c r="AY8" s="187"/>
      <c r="AZ8" s="188">
        <f>SUM(D8:G8,X8:Z8)+(3*H8/4)</f>
        <v>18.0625</v>
      </c>
      <c r="BA8" s="189"/>
      <c r="BB8" s="188">
        <f>SUM(I8:J8,AC8:AD8)+(3*(K8+L8)/4)</f>
        <v>19.8125</v>
      </c>
      <c r="BC8" s="187"/>
      <c r="BD8" s="112">
        <f>SUM(P8,AH8:AJ8)</f>
        <v>15.5</v>
      </c>
      <c r="BE8" s="189"/>
      <c r="BF8" s="112">
        <f>AM8+AN8+T8*3/4</f>
        <v>6.25</v>
      </c>
      <c r="BG8" s="99"/>
      <c r="BH8" s="66"/>
      <c r="BI8" s="112">
        <f t="shared" si="0"/>
        <v>38.75</v>
      </c>
      <c r="BJ8" s="112">
        <f t="shared" ref="BJ8:BJ221" si="7">AZ8</f>
        <v>18.0625</v>
      </c>
      <c r="BK8" s="112">
        <f t="shared" ref="BK8:BK34" si="8">(BJ8/BI7)*100</f>
        <v>46.612903225806448</v>
      </c>
      <c r="BL8" s="112">
        <f>IF(ROUNDUP(BK8,0)&gt;='Front page'!$D$32,1,0)</f>
        <v>0</v>
      </c>
      <c r="BM8" s="112">
        <f t="shared" si="1"/>
        <v>27.5</v>
      </c>
      <c r="BN8" s="112">
        <f t="shared" ref="BN8:BN221" si="9">BB8</f>
        <v>19.8125</v>
      </c>
      <c r="BO8" s="112">
        <f t="shared" ref="BO8:BO221" si="10">BN8/BM8*100</f>
        <v>72.045454545454547</v>
      </c>
      <c r="BP8" s="112">
        <f>IF(ROUNDUP(BO8,0)&gt;='Front page'!$D$32,1,0)</f>
        <v>1</v>
      </c>
      <c r="BQ8" s="112">
        <f t="shared" si="2"/>
        <v>20</v>
      </c>
      <c r="BR8" s="112">
        <f t="shared" ref="BR8:BR221" si="11">BD8</f>
        <v>15.5</v>
      </c>
      <c r="BS8" s="112">
        <f t="shared" ref="BS8:BS221" si="12">BR8/BQ8*100</f>
        <v>77.5</v>
      </c>
      <c r="BT8" s="112">
        <f>IF(ROUNDUP(BS8,0)&gt;='Front page'!$D$32,1,0)</f>
        <v>1</v>
      </c>
      <c r="BU8" s="112">
        <f t="shared" si="3"/>
        <v>13.75</v>
      </c>
      <c r="BV8" s="112">
        <f t="shared" ref="BV8:BV221" si="13">BF8</f>
        <v>6.25</v>
      </c>
      <c r="BW8" s="112">
        <f t="shared" ref="BW8:BW221" si="14">BV8/BU8*100</f>
        <v>45.454545454545453</v>
      </c>
      <c r="BX8" s="112">
        <f>IF(ROUNDUP(BW8,0)&gt;='Front page'!$D$32,1,0)</f>
        <v>0</v>
      </c>
      <c r="BY8" s="112" t="e">
        <f t="shared" si="4"/>
        <v>#REF!</v>
      </c>
      <c r="BZ8" s="112" t="e">
        <f t="shared" ref="BZ8:BZ221" si="15">#REF!</f>
        <v>#REF!</v>
      </c>
      <c r="CA8" s="112" t="e">
        <f t="shared" ref="CA8:CA221" si="16">(BZ8/BY8)*100</f>
        <v>#REF!</v>
      </c>
      <c r="CB8" s="112" t="e">
        <f>IF(ROUNDUP(CA8,0)&gt;='Front page'!$D$32,1,0)</f>
        <v>#REF!</v>
      </c>
    </row>
    <row r="9" spans="1:80" ht="14.25" customHeight="1">
      <c r="A9" s="93">
        <v>2</v>
      </c>
      <c r="B9" s="94"/>
      <c r="C9" s="94"/>
      <c r="D9" s="77">
        <v>2</v>
      </c>
      <c r="E9" s="77">
        <v>1</v>
      </c>
      <c r="F9" s="77">
        <v>2.5</v>
      </c>
      <c r="G9" s="77">
        <v>1</v>
      </c>
      <c r="H9" s="77">
        <v>5</v>
      </c>
      <c r="I9" s="77">
        <v>4</v>
      </c>
      <c r="J9" s="77">
        <v>0.5</v>
      </c>
      <c r="K9" s="95">
        <v>4.75</v>
      </c>
      <c r="L9" s="95">
        <v>5</v>
      </c>
      <c r="M9" s="95"/>
      <c r="N9" s="95"/>
      <c r="O9" s="82"/>
      <c r="P9" s="77">
        <v>4</v>
      </c>
      <c r="Q9" s="96"/>
      <c r="R9" s="96"/>
      <c r="S9" s="77"/>
      <c r="T9" s="77">
        <v>4.75</v>
      </c>
      <c r="U9" s="77"/>
      <c r="V9" s="83">
        <f t="shared" si="5"/>
        <v>30</v>
      </c>
      <c r="W9" s="183"/>
      <c r="X9" s="122">
        <v>1.5</v>
      </c>
      <c r="Y9" s="96">
        <v>5</v>
      </c>
      <c r="Z9" s="117">
        <v>2.5</v>
      </c>
      <c r="AA9" s="117"/>
      <c r="AB9" s="117"/>
      <c r="AC9" s="96">
        <v>1.5</v>
      </c>
      <c r="AD9" s="123">
        <v>2</v>
      </c>
      <c r="AE9" s="96"/>
      <c r="AF9" s="123"/>
      <c r="AG9" s="123"/>
      <c r="AH9" s="96">
        <v>3.5</v>
      </c>
      <c r="AI9" s="96">
        <v>3.5</v>
      </c>
      <c r="AJ9" s="117">
        <v>2</v>
      </c>
      <c r="AK9" s="117"/>
      <c r="AL9" s="117"/>
      <c r="AM9" s="123">
        <v>1.5</v>
      </c>
      <c r="AN9" s="117">
        <v>2</v>
      </c>
      <c r="AO9" s="117"/>
      <c r="AP9" s="117"/>
      <c r="AQ9" s="117"/>
      <c r="AR9" s="117"/>
      <c r="AS9" s="124"/>
      <c r="AT9" s="117"/>
      <c r="AU9" s="117"/>
      <c r="AV9" s="125"/>
      <c r="AW9" s="126">
        <f t="shared" si="6"/>
        <v>25</v>
      </c>
      <c r="AX9" s="40"/>
      <c r="AY9" s="187"/>
      <c r="AZ9" s="188">
        <f t="shared" ref="AZ9:AZ34" si="17">SUM(D9:G9,X9:Z9)+(3*H9/4)</f>
        <v>19.25</v>
      </c>
      <c r="BA9" s="189"/>
      <c r="BB9" s="188">
        <f t="shared" ref="BB9:BB34" si="18">SUM(I9:J9,AC9:AD9)+(3*(K9+L9)/4)</f>
        <v>15.3125</v>
      </c>
      <c r="BC9" s="187"/>
      <c r="BD9" s="112">
        <f t="shared" ref="BD9:BD34" si="19">SUM(P9,AH9:AJ9)</f>
        <v>13</v>
      </c>
      <c r="BE9" s="189"/>
      <c r="BF9" s="112">
        <f t="shared" ref="BF9:BF34" si="20">AM9+AN9+T9*3/4</f>
        <v>7.0625</v>
      </c>
      <c r="BG9" s="99"/>
      <c r="BH9" s="66"/>
      <c r="BI9" s="112">
        <f t="shared" si="0"/>
        <v>38.75</v>
      </c>
      <c r="BJ9" s="112">
        <f t="shared" si="7"/>
        <v>19.25</v>
      </c>
      <c r="BK9" s="112">
        <f t="shared" si="8"/>
        <v>49.677419354838712</v>
      </c>
      <c r="BL9" s="112">
        <f>IF(ROUNDUP(BK9,0)&gt;='Front page'!$D$32,1,0)</f>
        <v>1</v>
      </c>
      <c r="BM9" s="112">
        <f t="shared" si="1"/>
        <v>27.5</v>
      </c>
      <c r="BN9" s="112">
        <f t="shared" si="9"/>
        <v>15.3125</v>
      </c>
      <c r="BO9" s="112">
        <f t="shared" si="10"/>
        <v>55.68181818181818</v>
      </c>
      <c r="BP9" s="112">
        <f>IF(ROUNDUP(BO9,0)&gt;='Front page'!$D$32,1,0)</f>
        <v>1</v>
      </c>
      <c r="BQ9" s="112">
        <f t="shared" si="2"/>
        <v>20</v>
      </c>
      <c r="BR9" s="112">
        <f t="shared" si="11"/>
        <v>13</v>
      </c>
      <c r="BS9" s="112">
        <f t="shared" si="12"/>
        <v>65</v>
      </c>
      <c r="BT9" s="112">
        <f>IF(ROUNDUP(BS9,0)&gt;='Front page'!$D$32,1,0)</f>
        <v>1</v>
      </c>
      <c r="BU9" s="112">
        <f t="shared" si="3"/>
        <v>13.75</v>
      </c>
      <c r="BV9" s="112">
        <f t="shared" si="13"/>
        <v>7.0625</v>
      </c>
      <c r="BW9" s="112">
        <f t="shared" si="14"/>
        <v>51.363636363636367</v>
      </c>
      <c r="BX9" s="112">
        <f>IF(ROUNDUP(BW9,0)&gt;='Front page'!$D$32,1,0)</f>
        <v>1</v>
      </c>
      <c r="BY9" s="112" t="e">
        <f t="shared" si="4"/>
        <v>#REF!</v>
      </c>
      <c r="BZ9" s="112" t="e">
        <f t="shared" si="15"/>
        <v>#REF!</v>
      </c>
      <c r="CA9" s="112" t="e">
        <f t="shared" si="16"/>
        <v>#REF!</v>
      </c>
      <c r="CB9" s="112" t="e">
        <f>IF(ROUNDUP(CA9,0)&gt;='Front page'!$D$32,1,0)</f>
        <v>#REF!</v>
      </c>
    </row>
    <row r="10" spans="1:80" ht="14.25" customHeight="1">
      <c r="A10" s="93">
        <v>3</v>
      </c>
      <c r="B10" s="94"/>
      <c r="C10" s="94"/>
      <c r="D10" s="77">
        <v>0</v>
      </c>
      <c r="E10" s="77">
        <v>0</v>
      </c>
      <c r="F10" s="77">
        <v>1</v>
      </c>
      <c r="G10" s="77">
        <v>0</v>
      </c>
      <c r="H10" s="77">
        <v>4.5</v>
      </c>
      <c r="I10" s="77">
        <v>0</v>
      </c>
      <c r="J10" s="77">
        <v>1</v>
      </c>
      <c r="K10" s="95">
        <v>4.5</v>
      </c>
      <c r="L10" s="95">
        <v>4.5</v>
      </c>
      <c r="M10" s="95"/>
      <c r="N10" s="95"/>
      <c r="O10" s="82"/>
      <c r="P10" s="77">
        <v>2</v>
      </c>
      <c r="Q10" s="96"/>
      <c r="R10" s="96"/>
      <c r="S10" s="77"/>
      <c r="T10" s="77">
        <v>4</v>
      </c>
      <c r="U10" s="77"/>
      <c r="V10" s="83">
        <f t="shared" si="5"/>
        <v>17</v>
      </c>
      <c r="W10" s="183"/>
      <c r="X10" s="122">
        <v>1.5</v>
      </c>
      <c r="Y10" s="96">
        <v>1.5</v>
      </c>
      <c r="Z10" s="117">
        <v>2</v>
      </c>
      <c r="AA10" s="117"/>
      <c r="AB10" s="117"/>
      <c r="AC10" s="96">
        <v>2</v>
      </c>
      <c r="AD10" s="123">
        <v>0</v>
      </c>
      <c r="AE10" s="96"/>
      <c r="AF10" s="123"/>
      <c r="AG10" s="123"/>
      <c r="AH10" s="96">
        <v>3</v>
      </c>
      <c r="AI10" s="96">
        <v>3.5</v>
      </c>
      <c r="AJ10" s="117">
        <v>0</v>
      </c>
      <c r="AK10" s="117"/>
      <c r="AL10" s="117"/>
      <c r="AM10" s="123">
        <v>3</v>
      </c>
      <c r="AN10" s="117">
        <v>1.5</v>
      </c>
      <c r="AO10" s="117"/>
      <c r="AP10" s="117"/>
      <c r="AQ10" s="117"/>
      <c r="AR10" s="117"/>
      <c r="AS10" s="124"/>
      <c r="AT10" s="117"/>
      <c r="AU10" s="117"/>
      <c r="AV10" s="125"/>
      <c r="AW10" s="126">
        <f t="shared" si="6"/>
        <v>18</v>
      </c>
      <c r="AX10" s="40"/>
      <c r="AY10" s="187"/>
      <c r="AZ10" s="188">
        <f t="shared" si="17"/>
        <v>9.375</v>
      </c>
      <c r="BA10" s="189"/>
      <c r="BB10" s="188">
        <f t="shared" si="18"/>
        <v>9.75</v>
      </c>
      <c r="BC10" s="187"/>
      <c r="BD10" s="112">
        <f t="shared" si="19"/>
        <v>8.5</v>
      </c>
      <c r="BE10" s="189"/>
      <c r="BF10" s="112">
        <f t="shared" si="20"/>
        <v>7.5</v>
      </c>
      <c r="BG10" s="99"/>
      <c r="BH10" s="66"/>
      <c r="BI10" s="112">
        <f t="shared" si="0"/>
        <v>38.75</v>
      </c>
      <c r="BJ10" s="112">
        <f t="shared" si="7"/>
        <v>9.375</v>
      </c>
      <c r="BK10" s="112">
        <f t="shared" si="8"/>
        <v>24.193548387096776</v>
      </c>
      <c r="BL10" s="112">
        <f>IF(ROUNDUP(BK10,0)&gt;='Front page'!$D$32,1,0)</f>
        <v>0</v>
      </c>
      <c r="BM10" s="112">
        <f t="shared" si="1"/>
        <v>27.5</v>
      </c>
      <c r="BN10" s="112">
        <f t="shared" si="9"/>
        <v>9.75</v>
      </c>
      <c r="BO10" s="112">
        <f t="shared" si="10"/>
        <v>35.454545454545453</v>
      </c>
      <c r="BP10" s="112">
        <f>IF(ROUNDUP(BO10,0)&gt;='Front page'!$D$32,1,0)</f>
        <v>0</v>
      </c>
      <c r="BQ10" s="112">
        <f t="shared" si="2"/>
        <v>20</v>
      </c>
      <c r="BR10" s="112">
        <f t="shared" si="11"/>
        <v>8.5</v>
      </c>
      <c r="BS10" s="112">
        <f t="shared" si="12"/>
        <v>42.5</v>
      </c>
      <c r="BT10" s="112">
        <f>IF(ROUNDUP(BS10,0)&gt;='Front page'!$D$32,1,0)</f>
        <v>0</v>
      </c>
      <c r="BU10" s="112">
        <f t="shared" si="3"/>
        <v>13.75</v>
      </c>
      <c r="BV10" s="112">
        <f t="shared" si="13"/>
        <v>7.5</v>
      </c>
      <c r="BW10" s="112">
        <f t="shared" si="14"/>
        <v>54.54545454545454</v>
      </c>
      <c r="BX10" s="112">
        <f>IF(ROUNDUP(BW10,0)&gt;='Front page'!$D$32,1,0)</f>
        <v>1</v>
      </c>
      <c r="BY10" s="112" t="e">
        <f t="shared" si="4"/>
        <v>#REF!</v>
      </c>
      <c r="BZ10" s="112" t="e">
        <f t="shared" si="15"/>
        <v>#REF!</v>
      </c>
      <c r="CA10" s="112" t="e">
        <f t="shared" si="16"/>
        <v>#REF!</v>
      </c>
      <c r="CB10" s="112" t="e">
        <f>IF(ROUNDUP(CA10,0)&gt;='Front page'!$D$32,1,0)</f>
        <v>#REF!</v>
      </c>
    </row>
    <row r="11" spans="1:80" ht="14.25" customHeight="1">
      <c r="A11" s="93">
        <v>4</v>
      </c>
      <c r="B11" s="94"/>
      <c r="C11" s="94"/>
      <c r="D11" s="77">
        <v>4</v>
      </c>
      <c r="E11" s="77">
        <v>5</v>
      </c>
      <c r="F11" s="77">
        <v>4</v>
      </c>
      <c r="G11" s="77">
        <v>5</v>
      </c>
      <c r="H11" s="77">
        <v>5</v>
      </c>
      <c r="I11" s="77">
        <v>1.5</v>
      </c>
      <c r="J11" s="77">
        <v>2</v>
      </c>
      <c r="K11" s="95">
        <v>5</v>
      </c>
      <c r="L11" s="95">
        <v>5</v>
      </c>
      <c r="M11" s="95"/>
      <c r="N11" s="95"/>
      <c r="O11" s="82"/>
      <c r="P11" s="77">
        <v>4.5</v>
      </c>
      <c r="Q11" s="96"/>
      <c r="R11" s="96"/>
      <c r="S11" s="77"/>
      <c r="T11" s="77">
        <v>4</v>
      </c>
      <c r="U11" s="77"/>
      <c r="V11" s="83">
        <f t="shared" si="5"/>
        <v>40</v>
      </c>
      <c r="W11" s="183"/>
      <c r="X11" s="122">
        <v>3.5</v>
      </c>
      <c r="Y11" s="96">
        <v>3.5</v>
      </c>
      <c r="Z11" s="117">
        <v>0</v>
      </c>
      <c r="AA11" s="117"/>
      <c r="AB11" s="117"/>
      <c r="AC11" s="96">
        <v>5</v>
      </c>
      <c r="AD11" s="123">
        <v>3.5</v>
      </c>
      <c r="AE11" s="96"/>
      <c r="AF11" s="123"/>
      <c r="AG11" s="123"/>
      <c r="AH11" s="96">
        <v>3.5</v>
      </c>
      <c r="AI11" s="96">
        <v>4</v>
      </c>
      <c r="AJ11" s="117">
        <v>5</v>
      </c>
      <c r="AK11" s="117"/>
      <c r="AL11" s="117"/>
      <c r="AM11" s="123">
        <v>3.5</v>
      </c>
      <c r="AN11" s="117">
        <v>3.5</v>
      </c>
      <c r="AO11" s="117"/>
      <c r="AP11" s="117"/>
      <c r="AQ11" s="117"/>
      <c r="AR11" s="117"/>
      <c r="AS11" s="124"/>
      <c r="AT11" s="117"/>
      <c r="AU11" s="117"/>
      <c r="AV11" s="125"/>
      <c r="AW11" s="126">
        <f t="shared" si="6"/>
        <v>35</v>
      </c>
      <c r="AX11" s="40"/>
      <c r="AY11" s="187"/>
      <c r="AZ11" s="188">
        <f t="shared" si="17"/>
        <v>28.75</v>
      </c>
      <c r="BA11" s="189"/>
      <c r="BB11" s="188">
        <f t="shared" si="18"/>
        <v>19.5</v>
      </c>
      <c r="BC11" s="187"/>
      <c r="BD11" s="112">
        <f t="shared" si="19"/>
        <v>17</v>
      </c>
      <c r="BE11" s="189"/>
      <c r="BF11" s="112">
        <f t="shared" si="20"/>
        <v>10</v>
      </c>
      <c r="BG11" s="99"/>
      <c r="BH11" s="66"/>
      <c r="BI11" s="112">
        <f t="shared" si="0"/>
        <v>38.75</v>
      </c>
      <c r="BJ11" s="112">
        <f t="shared" si="7"/>
        <v>28.75</v>
      </c>
      <c r="BK11" s="112">
        <f t="shared" si="8"/>
        <v>74.193548387096769</v>
      </c>
      <c r="BL11" s="112">
        <f>IF(ROUNDUP(BK11,0)&gt;='Front page'!$D$32,1,0)</f>
        <v>1</v>
      </c>
      <c r="BM11" s="112">
        <f t="shared" si="1"/>
        <v>27.5</v>
      </c>
      <c r="BN11" s="112">
        <f t="shared" si="9"/>
        <v>19.5</v>
      </c>
      <c r="BO11" s="112">
        <f t="shared" si="10"/>
        <v>70.909090909090907</v>
      </c>
      <c r="BP11" s="112">
        <f>IF(ROUNDUP(BO11,0)&gt;='Front page'!$D$32,1,0)</f>
        <v>1</v>
      </c>
      <c r="BQ11" s="112">
        <f t="shared" si="2"/>
        <v>20</v>
      </c>
      <c r="BR11" s="112">
        <f t="shared" si="11"/>
        <v>17</v>
      </c>
      <c r="BS11" s="112">
        <f t="shared" si="12"/>
        <v>85</v>
      </c>
      <c r="BT11" s="112">
        <f>IF(ROUNDUP(BS11,0)&gt;='Front page'!$D$32,1,0)</f>
        <v>1</v>
      </c>
      <c r="BU11" s="112">
        <f t="shared" si="3"/>
        <v>13.75</v>
      </c>
      <c r="BV11" s="112">
        <f t="shared" si="13"/>
        <v>10</v>
      </c>
      <c r="BW11" s="112">
        <f t="shared" si="14"/>
        <v>72.727272727272734</v>
      </c>
      <c r="BX11" s="112">
        <f>IF(ROUNDUP(BW11,0)&gt;='Front page'!$D$32,1,0)</f>
        <v>1</v>
      </c>
      <c r="BY11" s="112" t="e">
        <f t="shared" si="4"/>
        <v>#REF!</v>
      </c>
      <c r="BZ11" s="112" t="e">
        <f t="shared" si="15"/>
        <v>#REF!</v>
      </c>
      <c r="CA11" s="112" t="e">
        <f t="shared" si="16"/>
        <v>#REF!</v>
      </c>
      <c r="CB11" s="112" t="e">
        <f>IF(ROUNDUP(CA11,0)&gt;='Front page'!$D$32,1,0)</f>
        <v>#REF!</v>
      </c>
    </row>
    <row r="12" spans="1:80" ht="14.25" customHeight="1">
      <c r="A12" s="93">
        <v>5</v>
      </c>
      <c r="B12" s="94"/>
      <c r="C12" s="94"/>
      <c r="D12" s="77">
        <v>2.5</v>
      </c>
      <c r="E12" s="77">
        <v>1</v>
      </c>
      <c r="F12" s="77">
        <v>2</v>
      </c>
      <c r="G12" s="77">
        <v>1.5</v>
      </c>
      <c r="H12" s="77">
        <v>4.5</v>
      </c>
      <c r="I12" s="77">
        <v>1</v>
      </c>
      <c r="J12" s="77">
        <v>1</v>
      </c>
      <c r="K12" s="95">
        <v>5</v>
      </c>
      <c r="L12" s="95">
        <v>5</v>
      </c>
      <c r="M12" s="95"/>
      <c r="N12" s="95"/>
      <c r="O12" s="82"/>
      <c r="P12" s="77">
        <v>4</v>
      </c>
      <c r="Q12" s="96"/>
      <c r="R12" s="96"/>
      <c r="S12" s="77"/>
      <c r="T12" s="77">
        <v>4.5</v>
      </c>
      <c r="U12" s="77"/>
      <c r="V12" s="83">
        <f t="shared" si="5"/>
        <v>27</v>
      </c>
      <c r="W12" s="183"/>
      <c r="X12" s="122">
        <v>0</v>
      </c>
      <c r="Y12" s="96">
        <v>0.5</v>
      </c>
      <c r="Z12" s="117">
        <v>0.5</v>
      </c>
      <c r="AA12" s="117"/>
      <c r="AB12" s="117"/>
      <c r="AC12" s="96">
        <v>2</v>
      </c>
      <c r="AD12" s="123">
        <v>3.5</v>
      </c>
      <c r="AE12" s="96"/>
      <c r="AF12" s="123"/>
      <c r="AG12" s="123"/>
      <c r="AH12" s="96">
        <v>3.5</v>
      </c>
      <c r="AI12" s="96">
        <v>4</v>
      </c>
      <c r="AJ12" s="117">
        <v>2.5</v>
      </c>
      <c r="AK12" s="117"/>
      <c r="AL12" s="117"/>
      <c r="AM12" s="123">
        <v>0</v>
      </c>
      <c r="AN12" s="117">
        <v>3.5</v>
      </c>
      <c r="AO12" s="117"/>
      <c r="AP12" s="117"/>
      <c r="AQ12" s="117"/>
      <c r="AR12" s="117"/>
      <c r="AS12" s="124"/>
      <c r="AT12" s="117"/>
      <c r="AU12" s="117"/>
      <c r="AV12" s="125"/>
      <c r="AW12" s="126">
        <f t="shared" si="6"/>
        <v>20</v>
      </c>
      <c r="AX12" s="40"/>
      <c r="AY12" s="187"/>
      <c r="AZ12" s="188">
        <f t="shared" si="17"/>
        <v>11.375</v>
      </c>
      <c r="BA12" s="189"/>
      <c r="BB12" s="188">
        <f t="shared" si="18"/>
        <v>15</v>
      </c>
      <c r="BC12" s="187"/>
      <c r="BD12" s="112">
        <f t="shared" si="19"/>
        <v>14</v>
      </c>
      <c r="BE12" s="189"/>
      <c r="BF12" s="112">
        <f t="shared" si="20"/>
        <v>6.875</v>
      </c>
      <c r="BG12" s="99"/>
      <c r="BH12" s="66"/>
      <c r="BI12" s="112">
        <f t="shared" si="0"/>
        <v>38.75</v>
      </c>
      <c r="BJ12" s="112">
        <f t="shared" si="7"/>
        <v>11.375</v>
      </c>
      <c r="BK12" s="112">
        <f t="shared" si="8"/>
        <v>29.354838709677416</v>
      </c>
      <c r="BL12" s="112">
        <f>IF(ROUNDUP(BK12,0)&gt;='Front page'!$D$32,1,0)</f>
        <v>0</v>
      </c>
      <c r="BM12" s="112">
        <f t="shared" si="1"/>
        <v>27.5</v>
      </c>
      <c r="BN12" s="112">
        <f t="shared" si="9"/>
        <v>15</v>
      </c>
      <c r="BO12" s="112">
        <f t="shared" si="10"/>
        <v>54.54545454545454</v>
      </c>
      <c r="BP12" s="112">
        <f>IF(ROUNDUP(BO12,0)&gt;='Front page'!$D$32,1,0)</f>
        <v>1</v>
      </c>
      <c r="BQ12" s="112">
        <f t="shared" si="2"/>
        <v>20</v>
      </c>
      <c r="BR12" s="112">
        <f t="shared" si="11"/>
        <v>14</v>
      </c>
      <c r="BS12" s="112">
        <f t="shared" si="12"/>
        <v>70</v>
      </c>
      <c r="BT12" s="112">
        <f>IF(ROUNDUP(BS12,0)&gt;='Front page'!$D$32,1,0)</f>
        <v>1</v>
      </c>
      <c r="BU12" s="112">
        <f t="shared" si="3"/>
        <v>13.75</v>
      </c>
      <c r="BV12" s="112">
        <f t="shared" si="13"/>
        <v>6.875</v>
      </c>
      <c r="BW12" s="112">
        <f t="shared" si="14"/>
        <v>50</v>
      </c>
      <c r="BX12" s="112">
        <f>IF(ROUNDUP(BW12,0)&gt;='Front page'!$D$32,1,0)</f>
        <v>1</v>
      </c>
      <c r="BY12" s="112" t="e">
        <f t="shared" si="4"/>
        <v>#REF!</v>
      </c>
      <c r="BZ12" s="112" t="e">
        <f t="shared" si="15"/>
        <v>#REF!</v>
      </c>
      <c r="CA12" s="112" t="e">
        <f t="shared" si="16"/>
        <v>#REF!</v>
      </c>
      <c r="CB12" s="112" t="e">
        <f>IF(ROUNDUP(CA12,0)&gt;='Front page'!$D$32,1,0)</f>
        <v>#REF!</v>
      </c>
    </row>
    <row r="13" spans="1:80" ht="14.25" customHeight="1">
      <c r="A13" s="93">
        <v>6</v>
      </c>
      <c r="B13" s="94"/>
      <c r="C13" s="94"/>
      <c r="D13" s="77">
        <v>2</v>
      </c>
      <c r="E13" s="77">
        <v>2</v>
      </c>
      <c r="F13" s="77">
        <v>0</v>
      </c>
      <c r="G13" s="77">
        <v>0</v>
      </c>
      <c r="H13" s="77">
        <v>4.5</v>
      </c>
      <c r="I13" s="77">
        <v>1.5</v>
      </c>
      <c r="J13" s="77">
        <v>2</v>
      </c>
      <c r="K13" s="95">
        <v>4</v>
      </c>
      <c r="L13" s="95">
        <v>5</v>
      </c>
      <c r="M13" s="95"/>
      <c r="N13" s="95"/>
      <c r="O13" s="82"/>
      <c r="P13" s="77">
        <v>2.5</v>
      </c>
      <c r="Q13" s="96"/>
      <c r="R13" s="96"/>
      <c r="S13" s="77"/>
      <c r="T13" s="77">
        <v>4</v>
      </c>
      <c r="U13" s="77"/>
      <c r="V13" s="83">
        <f t="shared" si="5"/>
        <v>23</v>
      </c>
      <c r="W13" s="183"/>
      <c r="X13" s="122">
        <v>0</v>
      </c>
      <c r="Y13" s="96">
        <v>1</v>
      </c>
      <c r="Z13" s="117">
        <v>0</v>
      </c>
      <c r="AA13" s="117"/>
      <c r="AB13" s="117"/>
      <c r="AC13" s="96">
        <v>2.5</v>
      </c>
      <c r="AD13" s="123">
        <v>1.5</v>
      </c>
      <c r="AE13" s="96"/>
      <c r="AF13" s="123"/>
      <c r="AG13" s="123"/>
      <c r="AH13" s="96">
        <v>3.5</v>
      </c>
      <c r="AI13" s="96">
        <v>4</v>
      </c>
      <c r="AJ13" s="117">
        <v>0</v>
      </c>
      <c r="AK13" s="117"/>
      <c r="AL13" s="117"/>
      <c r="AM13" s="123">
        <v>2.5</v>
      </c>
      <c r="AN13" s="117">
        <v>2</v>
      </c>
      <c r="AO13" s="117"/>
      <c r="AP13" s="117"/>
      <c r="AQ13" s="117"/>
      <c r="AR13" s="117"/>
      <c r="AS13" s="124"/>
      <c r="AT13" s="117"/>
      <c r="AU13" s="117"/>
      <c r="AV13" s="125"/>
      <c r="AW13" s="126">
        <f t="shared" si="6"/>
        <v>17</v>
      </c>
      <c r="AX13" s="40"/>
      <c r="AY13" s="187"/>
      <c r="AZ13" s="188">
        <f t="shared" si="17"/>
        <v>8.375</v>
      </c>
      <c r="BA13" s="189"/>
      <c r="BB13" s="188">
        <f t="shared" si="18"/>
        <v>14.25</v>
      </c>
      <c r="BC13" s="187"/>
      <c r="BD13" s="112">
        <f t="shared" si="19"/>
        <v>10</v>
      </c>
      <c r="BE13" s="189"/>
      <c r="BF13" s="112">
        <f t="shared" si="20"/>
        <v>7.5</v>
      </c>
      <c r="BG13" s="99"/>
      <c r="BH13" s="66"/>
      <c r="BI13" s="112">
        <f t="shared" si="0"/>
        <v>38.75</v>
      </c>
      <c r="BJ13" s="112">
        <f t="shared" si="7"/>
        <v>8.375</v>
      </c>
      <c r="BK13" s="112">
        <f t="shared" si="8"/>
        <v>21.612903225806452</v>
      </c>
      <c r="BL13" s="112">
        <f>IF(ROUNDUP(BK13,0)&gt;='Front page'!$D$32,1,0)</f>
        <v>0</v>
      </c>
      <c r="BM13" s="112">
        <f t="shared" si="1"/>
        <v>27.5</v>
      </c>
      <c r="BN13" s="112">
        <f t="shared" si="9"/>
        <v>14.25</v>
      </c>
      <c r="BO13" s="112">
        <f t="shared" si="10"/>
        <v>51.81818181818182</v>
      </c>
      <c r="BP13" s="112">
        <f>IF(ROUNDUP(BO13,0)&gt;='Front page'!$D$32,1,0)</f>
        <v>1</v>
      </c>
      <c r="BQ13" s="112">
        <f t="shared" si="2"/>
        <v>20</v>
      </c>
      <c r="BR13" s="112">
        <f t="shared" si="11"/>
        <v>10</v>
      </c>
      <c r="BS13" s="112">
        <f t="shared" si="12"/>
        <v>50</v>
      </c>
      <c r="BT13" s="112">
        <f>IF(ROUNDUP(BS13,0)&gt;='Front page'!$D$32,1,0)</f>
        <v>1</v>
      </c>
      <c r="BU13" s="112">
        <f t="shared" si="3"/>
        <v>13.75</v>
      </c>
      <c r="BV13" s="112">
        <f t="shared" si="13"/>
        <v>7.5</v>
      </c>
      <c r="BW13" s="112">
        <f t="shared" si="14"/>
        <v>54.54545454545454</v>
      </c>
      <c r="BX13" s="112">
        <f>IF(ROUNDUP(BW13,0)&gt;='Front page'!$D$32,1,0)</f>
        <v>1</v>
      </c>
      <c r="BY13" s="112" t="e">
        <f t="shared" si="4"/>
        <v>#REF!</v>
      </c>
      <c r="BZ13" s="112" t="e">
        <f t="shared" si="15"/>
        <v>#REF!</v>
      </c>
      <c r="CA13" s="112" t="e">
        <f t="shared" si="16"/>
        <v>#REF!</v>
      </c>
      <c r="CB13" s="112" t="e">
        <f>IF(ROUNDUP(CA13,0)&gt;='Front page'!$D$32,1,0)</f>
        <v>#REF!</v>
      </c>
    </row>
    <row r="14" spans="1:80" ht="14.25" customHeight="1">
      <c r="A14" s="93">
        <v>7</v>
      </c>
      <c r="B14" s="94"/>
      <c r="C14" s="94"/>
      <c r="D14" s="77">
        <v>4</v>
      </c>
      <c r="E14" s="77">
        <v>0</v>
      </c>
      <c r="F14" s="77">
        <v>5</v>
      </c>
      <c r="G14" s="77">
        <v>1.5</v>
      </c>
      <c r="H14" s="77">
        <v>4.5</v>
      </c>
      <c r="I14" s="77">
        <v>4</v>
      </c>
      <c r="J14" s="77">
        <v>3</v>
      </c>
      <c r="K14" s="95">
        <v>4</v>
      </c>
      <c r="L14" s="95">
        <v>5</v>
      </c>
      <c r="M14" s="95"/>
      <c r="N14" s="95"/>
      <c r="O14" s="82"/>
      <c r="P14" s="77">
        <v>4.5</v>
      </c>
      <c r="Q14" s="96"/>
      <c r="R14" s="96"/>
      <c r="S14" s="77"/>
      <c r="T14" s="77">
        <v>5</v>
      </c>
      <c r="U14" s="77"/>
      <c r="V14" s="83">
        <f t="shared" si="5"/>
        <v>36</v>
      </c>
      <c r="W14" s="183"/>
      <c r="X14" s="122">
        <v>1.5</v>
      </c>
      <c r="Y14" s="96">
        <v>5</v>
      </c>
      <c r="Z14" s="117">
        <v>1</v>
      </c>
      <c r="AA14" s="117"/>
      <c r="AB14" s="117"/>
      <c r="AC14" s="96">
        <v>5</v>
      </c>
      <c r="AD14" s="123">
        <v>3.5</v>
      </c>
      <c r="AE14" s="96"/>
      <c r="AF14" s="123"/>
      <c r="AG14" s="123"/>
      <c r="AH14" s="96">
        <v>3.5</v>
      </c>
      <c r="AI14" s="96">
        <v>5</v>
      </c>
      <c r="AJ14" s="117">
        <v>5</v>
      </c>
      <c r="AK14" s="117"/>
      <c r="AL14" s="117"/>
      <c r="AM14" s="123">
        <v>3.5</v>
      </c>
      <c r="AN14" s="117">
        <v>2</v>
      </c>
      <c r="AO14" s="117"/>
      <c r="AP14" s="117"/>
      <c r="AQ14" s="117"/>
      <c r="AR14" s="117"/>
      <c r="AS14" s="124"/>
      <c r="AT14" s="117"/>
      <c r="AU14" s="117"/>
      <c r="AV14" s="125"/>
      <c r="AW14" s="126">
        <f t="shared" si="6"/>
        <v>35</v>
      </c>
      <c r="AX14" s="40"/>
      <c r="AY14" s="187"/>
      <c r="AZ14" s="188">
        <f t="shared" si="17"/>
        <v>21.375</v>
      </c>
      <c r="BA14" s="189"/>
      <c r="BB14" s="188">
        <f t="shared" si="18"/>
        <v>22.25</v>
      </c>
      <c r="BC14" s="187"/>
      <c r="BD14" s="112">
        <f t="shared" si="19"/>
        <v>18</v>
      </c>
      <c r="BE14" s="189"/>
      <c r="BF14" s="112">
        <f t="shared" si="20"/>
        <v>9.25</v>
      </c>
      <c r="BG14" s="99"/>
      <c r="BH14" s="66"/>
      <c r="BI14" s="112">
        <f t="shared" si="0"/>
        <v>38.75</v>
      </c>
      <c r="BJ14" s="112">
        <f t="shared" si="7"/>
        <v>21.375</v>
      </c>
      <c r="BK14" s="112">
        <f t="shared" si="8"/>
        <v>55.161290322580648</v>
      </c>
      <c r="BL14" s="112">
        <f>IF(ROUNDUP(BK14,0)&gt;='Front page'!$D$32,1,0)</f>
        <v>1</v>
      </c>
      <c r="BM14" s="112">
        <f t="shared" si="1"/>
        <v>27.5</v>
      </c>
      <c r="BN14" s="112">
        <f t="shared" si="9"/>
        <v>22.25</v>
      </c>
      <c r="BO14" s="112">
        <f t="shared" si="10"/>
        <v>80.909090909090907</v>
      </c>
      <c r="BP14" s="112">
        <f>IF(ROUNDUP(BO14,0)&gt;='Front page'!$D$32,1,0)</f>
        <v>1</v>
      </c>
      <c r="BQ14" s="112">
        <f t="shared" si="2"/>
        <v>20</v>
      </c>
      <c r="BR14" s="112">
        <f t="shared" si="11"/>
        <v>18</v>
      </c>
      <c r="BS14" s="112">
        <f t="shared" si="12"/>
        <v>90</v>
      </c>
      <c r="BT14" s="112">
        <f>IF(ROUNDUP(BS14,0)&gt;='Front page'!$D$32,1,0)</f>
        <v>1</v>
      </c>
      <c r="BU14" s="112">
        <f t="shared" si="3"/>
        <v>13.75</v>
      </c>
      <c r="BV14" s="112">
        <f t="shared" si="13"/>
        <v>9.25</v>
      </c>
      <c r="BW14" s="112">
        <f t="shared" si="14"/>
        <v>67.272727272727266</v>
      </c>
      <c r="BX14" s="112">
        <f>IF(ROUNDUP(BW14,0)&gt;='Front page'!$D$32,1,0)</f>
        <v>1</v>
      </c>
      <c r="BY14" s="112" t="e">
        <f t="shared" si="4"/>
        <v>#REF!</v>
      </c>
      <c r="BZ14" s="112" t="e">
        <f t="shared" si="15"/>
        <v>#REF!</v>
      </c>
      <c r="CA14" s="112" t="e">
        <f t="shared" si="16"/>
        <v>#REF!</v>
      </c>
      <c r="CB14" s="112" t="e">
        <f>IF(ROUNDUP(CA14,0)&gt;='Front page'!$D$32,1,0)</f>
        <v>#REF!</v>
      </c>
    </row>
    <row r="15" spans="1:80" ht="14.25" customHeight="1">
      <c r="A15" s="93">
        <v>8</v>
      </c>
      <c r="B15" s="94"/>
      <c r="C15" s="94"/>
      <c r="D15" s="77">
        <v>5</v>
      </c>
      <c r="E15" s="77">
        <v>1.5</v>
      </c>
      <c r="F15" s="77">
        <v>4.5</v>
      </c>
      <c r="G15" s="77">
        <v>0</v>
      </c>
      <c r="H15" s="77">
        <v>4</v>
      </c>
      <c r="I15" s="77">
        <v>5</v>
      </c>
      <c r="J15" s="77">
        <v>0</v>
      </c>
      <c r="K15" s="95">
        <v>4</v>
      </c>
      <c r="L15" s="95">
        <v>4</v>
      </c>
      <c r="M15" s="95"/>
      <c r="N15" s="95"/>
      <c r="O15" s="82"/>
      <c r="P15" s="77">
        <v>1</v>
      </c>
      <c r="Q15" s="96"/>
      <c r="R15" s="96"/>
      <c r="S15" s="77"/>
      <c r="T15" s="77">
        <v>5</v>
      </c>
      <c r="U15" s="77"/>
      <c r="V15" s="83">
        <f t="shared" si="5"/>
        <v>30</v>
      </c>
      <c r="W15" s="183"/>
      <c r="X15" s="122">
        <v>4</v>
      </c>
      <c r="Y15" s="96">
        <v>3.5</v>
      </c>
      <c r="Z15" s="117">
        <v>0</v>
      </c>
      <c r="AA15" s="117"/>
      <c r="AB15" s="117"/>
      <c r="AC15" s="96">
        <v>2.5</v>
      </c>
      <c r="AD15" s="123">
        <v>2.5</v>
      </c>
      <c r="AE15" s="96"/>
      <c r="AF15" s="123"/>
      <c r="AG15" s="123"/>
      <c r="AH15" s="96">
        <v>1.5</v>
      </c>
      <c r="AI15" s="96">
        <v>2</v>
      </c>
      <c r="AJ15" s="117">
        <v>2.5</v>
      </c>
      <c r="AK15" s="117"/>
      <c r="AL15" s="117"/>
      <c r="AM15" s="123">
        <v>1.5</v>
      </c>
      <c r="AN15" s="117">
        <v>0</v>
      </c>
      <c r="AO15" s="117"/>
      <c r="AP15" s="117"/>
      <c r="AQ15" s="117"/>
      <c r="AR15" s="117"/>
      <c r="AS15" s="124"/>
      <c r="AT15" s="117"/>
      <c r="AU15" s="117"/>
      <c r="AV15" s="125"/>
      <c r="AW15" s="126">
        <f t="shared" si="6"/>
        <v>20</v>
      </c>
      <c r="AX15" s="40"/>
      <c r="AY15" s="187"/>
      <c r="AZ15" s="188">
        <f t="shared" si="17"/>
        <v>21.5</v>
      </c>
      <c r="BA15" s="189"/>
      <c r="BB15" s="188">
        <f t="shared" si="18"/>
        <v>16</v>
      </c>
      <c r="BC15" s="187"/>
      <c r="BD15" s="112">
        <f t="shared" si="19"/>
        <v>7</v>
      </c>
      <c r="BE15" s="189"/>
      <c r="BF15" s="112">
        <f t="shared" si="20"/>
        <v>5.25</v>
      </c>
      <c r="BG15" s="99"/>
      <c r="BH15" s="66"/>
      <c r="BI15" s="112">
        <f t="shared" si="0"/>
        <v>38.75</v>
      </c>
      <c r="BJ15" s="112">
        <f t="shared" si="7"/>
        <v>21.5</v>
      </c>
      <c r="BK15" s="112">
        <f t="shared" si="8"/>
        <v>55.483870967741936</v>
      </c>
      <c r="BL15" s="112">
        <f>IF(ROUNDUP(BK15,0)&gt;='Front page'!$D$32,1,0)</f>
        <v>1</v>
      </c>
      <c r="BM15" s="112">
        <f t="shared" si="1"/>
        <v>27.5</v>
      </c>
      <c r="BN15" s="112">
        <f t="shared" si="9"/>
        <v>16</v>
      </c>
      <c r="BO15" s="112">
        <f t="shared" si="10"/>
        <v>58.18181818181818</v>
      </c>
      <c r="BP15" s="112">
        <f>IF(ROUNDUP(BO15,0)&gt;='Front page'!$D$32,1,0)</f>
        <v>1</v>
      </c>
      <c r="BQ15" s="112">
        <f t="shared" si="2"/>
        <v>20</v>
      </c>
      <c r="BR15" s="112">
        <f t="shared" si="11"/>
        <v>7</v>
      </c>
      <c r="BS15" s="112">
        <f t="shared" si="12"/>
        <v>35</v>
      </c>
      <c r="BT15" s="112">
        <f>IF(ROUNDUP(BS15,0)&gt;='Front page'!$D$32,1,0)</f>
        <v>0</v>
      </c>
      <c r="BU15" s="112">
        <f t="shared" si="3"/>
        <v>13.75</v>
      </c>
      <c r="BV15" s="112">
        <f t="shared" si="13"/>
        <v>5.25</v>
      </c>
      <c r="BW15" s="112">
        <f t="shared" si="14"/>
        <v>38.181818181818187</v>
      </c>
      <c r="BX15" s="112">
        <f>IF(ROUNDUP(BW15,0)&gt;='Front page'!$D$32,1,0)</f>
        <v>0</v>
      </c>
      <c r="BY15" s="112" t="e">
        <f t="shared" si="4"/>
        <v>#REF!</v>
      </c>
      <c r="BZ15" s="112" t="e">
        <f t="shared" si="15"/>
        <v>#REF!</v>
      </c>
      <c r="CA15" s="112" t="e">
        <f t="shared" si="16"/>
        <v>#REF!</v>
      </c>
      <c r="CB15" s="112" t="e">
        <f>IF(ROUNDUP(CA15,0)&gt;='Front page'!$D$32,1,0)</f>
        <v>#REF!</v>
      </c>
    </row>
    <row r="16" spans="1:80" ht="14.25" customHeight="1">
      <c r="A16" s="93">
        <v>9</v>
      </c>
      <c r="B16" s="94"/>
      <c r="C16" s="94"/>
      <c r="D16" s="77">
        <v>4</v>
      </c>
      <c r="E16" s="77">
        <v>3</v>
      </c>
      <c r="F16" s="77">
        <v>5</v>
      </c>
      <c r="G16" s="77">
        <v>5</v>
      </c>
      <c r="H16" s="77">
        <v>5</v>
      </c>
      <c r="I16" s="77">
        <v>5</v>
      </c>
      <c r="J16" s="77">
        <v>4</v>
      </c>
      <c r="K16" s="95">
        <v>5</v>
      </c>
      <c r="L16" s="95">
        <v>5</v>
      </c>
      <c r="M16" s="95"/>
      <c r="N16" s="95"/>
      <c r="O16" s="82"/>
      <c r="P16" s="77">
        <v>4</v>
      </c>
      <c r="Q16" s="96"/>
      <c r="R16" s="96"/>
      <c r="S16" s="77"/>
      <c r="T16" s="77">
        <v>5</v>
      </c>
      <c r="U16" s="77"/>
      <c r="V16" s="83">
        <f t="shared" si="5"/>
        <v>45</v>
      </c>
      <c r="W16" s="183"/>
      <c r="X16" s="122">
        <v>5</v>
      </c>
      <c r="Y16" s="96">
        <v>5</v>
      </c>
      <c r="Z16" s="117">
        <v>3</v>
      </c>
      <c r="AA16" s="117"/>
      <c r="AB16" s="117"/>
      <c r="AC16" s="96">
        <v>5</v>
      </c>
      <c r="AD16" s="123">
        <v>4</v>
      </c>
      <c r="AE16" s="96"/>
      <c r="AF16" s="123"/>
      <c r="AG16" s="123"/>
      <c r="AH16" s="96">
        <v>3.5</v>
      </c>
      <c r="AI16" s="96">
        <v>4</v>
      </c>
      <c r="AJ16" s="117">
        <v>5</v>
      </c>
      <c r="AK16" s="117"/>
      <c r="AL16" s="117"/>
      <c r="AM16" s="123">
        <v>4</v>
      </c>
      <c r="AN16" s="117">
        <v>2.5</v>
      </c>
      <c r="AO16" s="117"/>
      <c r="AP16" s="117"/>
      <c r="AQ16" s="117"/>
      <c r="AR16" s="117"/>
      <c r="AS16" s="124"/>
      <c r="AT16" s="117"/>
      <c r="AU16" s="117"/>
      <c r="AV16" s="125"/>
      <c r="AW16" s="126">
        <f t="shared" si="6"/>
        <v>41</v>
      </c>
      <c r="AX16" s="40"/>
      <c r="AY16" s="187"/>
      <c r="AZ16" s="188">
        <f t="shared" si="17"/>
        <v>33.75</v>
      </c>
      <c r="BA16" s="189"/>
      <c r="BB16" s="188">
        <f t="shared" si="18"/>
        <v>25.5</v>
      </c>
      <c r="BC16" s="187"/>
      <c r="BD16" s="112">
        <f t="shared" si="19"/>
        <v>16.5</v>
      </c>
      <c r="BE16" s="189"/>
      <c r="BF16" s="112">
        <f t="shared" si="20"/>
        <v>10.25</v>
      </c>
      <c r="BG16" s="99"/>
      <c r="BH16" s="66"/>
      <c r="BI16" s="112">
        <f t="shared" si="0"/>
        <v>38.75</v>
      </c>
      <c r="BJ16" s="112">
        <f t="shared" si="7"/>
        <v>33.75</v>
      </c>
      <c r="BK16" s="112">
        <f t="shared" si="8"/>
        <v>87.096774193548384</v>
      </c>
      <c r="BL16" s="112">
        <f>IF(ROUNDUP(BK16,0)&gt;='Front page'!$D$32,1,0)</f>
        <v>1</v>
      </c>
      <c r="BM16" s="112">
        <f t="shared" si="1"/>
        <v>27.5</v>
      </c>
      <c r="BN16" s="112">
        <f t="shared" si="9"/>
        <v>25.5</v>
      </c>
      <c r="BO16" s="112">
        <f t="shared" si="10"/>
        <v>92.72727272727272</v>
      </c>
      <c r="BP16" s="112">
        <f>IF(ROUNDUP(BO16,0)&gt;='Front page'!$D$32,1,0)</f>
        <v>1</v>
      </c>
      <c r="BQ16" s="112">
        <f t="shared" si="2"/>
        <v>20</v>
      </c>
      <c r="BR16" s="112">
        <f t="shared" si="11"/>
        <v>16.5</v>
      </c>
      <c r="BS16" s="112">
        <f t="shared" si="12"/>
        <v>82.5</v>
      </c>
      <c r="BT16" s="112">
        <f>IF(ROUNDUP(BS16,0)&gt;='Front page'!$D$32,1,0)</f>
        <v>1</v>
      </c>
      <c r="BU16" s="112">
        <f t="shared" si="3"/>
        <v>13.75</v>
      </c>
      <c r="BV16" s="112">
        <f t="shared" si="13"/>
        <v>10.25</v>
      </c>
      <c r="BW16" s="112">
        <f t="shared" si="14"/>
        <v>74.545454545454547</v>
      </c>
      <c r="BX16" s="112">
        <f>IF(ROUNDUP(BW16,0)&gt;='Front page'!$D$32,1,0)</f>
        <v>1</v>
      </c>
      <c r="BY16" s="112" t="e">
        <f t="shared" si="4"/>
        <v>#REF!</v>
      </c>
      <c r="BZ16" s="112" t="e">
        <f t="shared" si="15"/>
        <v>#REF!</v>
      </c>
      <c r="CA16" s="112" t="e">
        <f t="shared" si="16"/>
        <v>#REF!</v>
      </c>
      <c r="CB16" s="112" t="e">
        <f>IF(ROUNDUP(CA16,0)&gt;='Front page'!$D$32,1,0)</f>
        <v>#REF!</v>
      </c>
    </row>
    <row r="17" spans="1:80" ht="14.25" customHeight="1">
      <c r="A17" s="93">
        <v>10</v>
      </c>
      <c r="B17" s="94"/>
      <c r="C17" s="94"/>
      <c r="D17" s="77">
        <v>4</v>
      </c>
      <c r="E17" s="77">
        <v>1.5</v>
      </c>
      <c r="F17" s="77">
        <v>3</v>
      </c>
      <c r="G17" s="77">
        <v>1.5</v>
      </c>
      <c r="H17" s="77">
        <v>5</v>
      </c>
      <c r="I17" s="77">
        <v>1</v>
      </c>
      <c r="J17" s="77">
        <v>2</v>
      </c>
      <c r="K17" s="95">
        <v>5</v>
      </c>
      <c r="L17" s="95">
        <v>5</v>
      </c>
      <c r="M17" s="95"/>
      <c r="N17" s="95"/>
      <c r="O17" s="82"/>
      <c r="P17" s="77">
        <v>4</v>
      </c>
      <c r="Q17" s="96"/>
      <c r="R17" s="96"/>
      <c r="S17" s="77"/>
      <c r="T17" s="77">
        <v>5</v>
      </c>
      <c r="U17" s="77"/>
      <c r="V17" s="83">
        <f t="shared" si="5"/>
        <v>32</v>
      </c>
      <c r="W17" s="183"/>
      <c r="X17" s="122">
        <v>1</v>
      </c>
      <c r="Y17" s="96">
        <v>5</v>
      </c>
      <c r="Z17" s="117">
        <v>4</v>
      </c>
      <c r="AA17" s="117"/>
      <c r="AB17" s="117"/>
      <c r="AC17" s="96">
        <v>4</v>
      </c>
      <c r="AD17" s="123">
        <v>4</v>
      </c>
      <c r="AE17" s="96"/>
      <c r="AF17" s="123"/>
      <c r="AG17" s="123"/>
      <c r="AH17" s="96">
        <v>4</v>
      </c>
      <c r="AI17" s="96">
        <v>5</v>
      </c>
      <c r="AJ17" s="117">
        <v>5</v>
      </c>
      <c r="AK17" s="117"/>
      <c r="AL17" s="117"/>
      <c r="AM17" s="123">
        <v>4</v>
      </c>
      <c r="AN17" s="117">
        <v>3</v>
      </c>
      <c r="AO17" s="117"/>
      <c r="AP17" s="117"/>
      <c r="AQ17" s="117"/>
      <c r="AR17" s="117"/>
      <c r="AS17" s="124"/>
      <c r="AT17" s="117"/>
      <c r="AU17" s="117"/>
      <c r="AV17" s="125"/>
      <c r="AW17" s="126">
        <f t="shared" si="6"/>
        <v>39</v>
      </c>
      <c r="AX17" s="40"/>
      <c r="AY17" s="187"/>
      <c r="AZ17" s="188">
        <f t="shared" si="17"/>
        <v>23.75</v>
      </c>
      <c r="BA17" s="189"/>
      <c r="BB17" s="188">
        <f t="shared" si="18"/>
        <v>18.5</v>
      </c>
      <c r="BC17" s="187"/>
      <c r="BD17" s="112">
        <f t="shared" si="19"/>
        <v>18</v>
      </c>
      <c r="BE17" s="189"/>
      <c r="BF17" s="112">
        <f t="shared" si="20"/>
        <v>10.75</v>
      </c>
      <c r="BG17" s="99"/>
      <c r="BH17" s="66"/>
      <c r="BI17" s="112">
        <f t="shared" si="0"/>
        <v>38.75</v>
      </c>
      <c r="BJ17" s="112">
        <f t="shared" si="7"/>
        <v>23.75</v>
      </c>
      <c r="BK17" s="112">
        <f t="shared" si="8"/>
        <v>61.29032258064516</v>
      </c>
      <c r="BL17" s="112">
        <f>IF(ROUNDUP(BK17,0)&gt;='Front page'!$D$32,1,0)</f>
        <v>1</v>
      </c>
      <c r="BM17" s="112">
        <f t="shared" si="1"/>
        <v>27.5</v>
      </c>
      <c r="BN17" s="112">
        <f t="shared" si="9"/>
        <v>18.5</v>
      </c>
      <c r="BO17" s="112">
        <f t="shared" si="10"/>
        <v>67.272727272727266</v>
      </c>
      <c r="BP17" s="112">
        <f>IF(ROUNDUP(BO17,0)&gt;='Front page'!$D$32,1,0)</f>
        <v>1</v>
      </c>
      <c r="BQ17" s="112">
        <f t="shared" si="2"/>
        <v>20</v>
      </c>
      <c r="BR17" s="112">
        <f t="shared" si="11"/>
        <v>18</v>
      </c>
      <c r="BS17" s="112">
        <f t="shared" si="12"/>
        <v>90</v>
      </c>
      <c r="BT17" s="112">
        <f>IF(ROUNDUP(BS17,0)&gt;='Front page'!$D$32,1,0)</f>
        <v>1</v>
      </c>
      <c r="BU17" s="112">
        <f t="shared" si="3"/>
        <v>13.75</v>
      </c>
      <c r="BV17" s="112">
        <f t="shared" si="13"/>
        <v>10.75</v>
      </c>
      <c r="BW17" s="112">
        <f t="shared" si="14"/>
        <v>78.181818181818187</v>
      </c>
      <c r="BX17" s="112">
        <f>IF(ROUNDUP(BW17,0)&gt;='Front page'!$D$32,1,0)</f>
        <v>1</v>
      </c>
      <c r="BY17" s="112" t="e">
        <f t="shared" si="4"/>
        <v>#REF!</v>
      </c>
      <c r="BZ17" s="112" t="e">
        <f t="shared" si="15"/>
        <v>#REF!</v>
      </c>
      <c r="CA17" s="112" t="e">
        <f t="shared" si="16"/>
        <v>#REF!</v>
      </c>
      <c r="CB17" s="112" t="e">
        <f>IF(ROUNDUP(CA17,0)&gt;='Front page'!$D$32,1,0)</f>
        <v>#REF!</v>
      </c>
    </row>
    <row r="18" spans="1:80" ht="14.25" customHeight="1">
      <c r="A18" s="93">
        <v>11</v>
      </c>
      <c r="B18" s="94"/>
      <c r="C18" s="94"/>
      <c r="D18" s="77">
        <v>2.5</v>
      </c>
      <c r="E18" s="77">
        <v>1</v>
      </c>
      <c r="F18" s="77">
        <v>3</v>
      </c>
      <c r="G18" s="77">
        <v>1.5</v>
      </c>
      <c r="H18" s="77">
        <v>5</v>
      </c>
      <c r="I18" s="77">
        <v>1</v>
      </c>
      <c r="J18" s="77">
        <v>1.5</v>
      </c>
      <c r="K18" s="95">
        <v>5</v>
      </c>
      <c r="L18" s="95">
        <v>5</v>
      </c>
      <c r="M18" s="95"/>
      <c r="N18" s="95"/>
      <c r="O18" s="82"/>
      <c r="P18" s="77">
        <v>3.5</v>
      </c>
      <c r="Q18" s="96"/>
      <c r="R18" s="96"/>
      <c r="S18" s="77"/>
      <c r="T18" s="77">
        <v>5</v>
      </c>
      <c r="U18" s="77"/>
      <c r="V18" s="83">
        <f t="shared" si="5"/>
        <v>29</v>
      </c>
      <c r="W18" s="183"/>
      <c r="X18" s="122">
        <v>1.5</v>
      </c>
      <c r="Y18" s="96">
        <v>5</v>
      </c>
      <c r="Z18" s="117">
        <v>2</v>
      </c>
      <c r="AA18" s="117"/>
      <c r="AB18" s="117"/>
      <c r="AC18" s="96">
        <v>3</v>
      </c>
      <c r="AD18" s="123">
        <v>4</v>
      </c>
      <c r="AE18" s="96"/>
      <c r="AF18" s="123"/>
      <c r="AG18" s="123"/>
      <c r="AH18" s="96">
        <v>4</v>
      </c>
      <c r="AI18" s="96">
        <v>3.5</v>
      </c>
      <c r="AJ18" s="117">
        <v>5</v>
      </c>
      <c r="AK18" s="117"/>
      <c r="AL18" s="117"/>
      <c r="AM18" s="123">
        <v>5</v>
      </c>
      <c r="AN18" s="117">
        <v>3</v>
      </c>
      <c r="AO18" s="117"/>
      <c r="AP18" s="117"/>
      <c r="AQ18" s="117"/>
      <c r="AR18" s="117"/>
      <c r="AS18" s="124"/>
      <c r="AT18" s="117"/>
      <c r="AU18" s="117"/>
      <c r="AV18" s="125"/>
      <c r="AW18" s="126">
        <f t="shared" si="6"/>
        <v>36</v>
      </c>
      <c r="AX18" s="40"/>
      <c r="AY18" s="187"/>
      <c r="AZ18" s="188">
        <f t="shared" si="17"/>
        <v>20.25</v>
      </c>
      <c r="BA18" s="189"/>
      <c r="BB18" s="188">
        <f t="shared" si="18"/>
        <v>17</v>
      </c>
      <c r="BC18" s="187"/>
      <c r="BD18" s="112">
        <f t="shared" si="19"/>
        <v>16</v>
      </c>
      <c r="BE18" s="189"/>
      <c r="BF18" s="112">
        <f t="shared" si="20"/>
        <v>11.75</v>
      </c>
      <c r="BG18" s="99"/>
      <c r="BH18" s="66"/>
      <c r="BI18" s="112">
        <f t="shared" si="0"/>
        <v>38.75</v>
      </c>
      <c r="BJ18" s="112">
        <f t="shared" si="7"/>
        <v>20.25</v>
      </c>
      <c r="BK18" s="112">
        <f t="shared" si="8"/>
        <v>52.258064516129032</v>
      </c>
      <c r="BL18" s="112">
        <f>IF(ROUNDUP(BK18,0)&gt;='Front page'!$D$32,1,0)</f>
        <v>1</v>
      </c>
      <c r="BM18" s="112">
        <f t="shared" si="1"/>
        <v>27.5</v>
      </c>
      <c r="BN18" s="112">
        <f t="shared" si="9"/>
        <v>17</v>
      </c>
      <c r="BO18" s="112">
        <f t="shared" si="10"/>
        <v>61.818181818181813</v>
      </c>
      <c r="BP18" s="112">
        <f>IF(ROUNDUP(BO18,0)&gt;='Front page'!$D$32,1,0)</f>
        <v>1</v>
      </c>
      <c r="BQ18" s="112">
        <f t="shared" si="2"/>
        <v>20</v>
      </c>
      <c r="BR18" s="112">
        <f t="shared" si="11"/>
        <v>16</v>
      </c>
      <c r="BS18" s="112">
        <f t="shared" si="12"/>
        <v>80</v>
      </c>
      <c r="BT18" s="112">
        <f>IF(ROUNDUP(BS18,0)&gt;='Front page'!$D$32,1,0)</f>
        <v>1</v>
      </c>
      <c r="BU18" s="112">
        <f t="shared" si="3"/>
        <v>13.75</v>
      </c>
      <c r="BV18" s="112">
        <f t="shared" si="13"/>
        <v>11.75</v>
      </c>
      <c r="BW18" s="112">
        <f t="shared" si="14"/>
        <v>85.454545454545453</v>
      </c>
      <c r="BX18" s="112">
        <f>IF(ROUNDUP(BW18,0)&gt;='Front page'!$D$32,1,0)</f>
        <v>1</v>
      </c>
      <c r="BY18" s="112" t="e">
        <f t="shared" si="4"/>
        <v>#REF!</v>
      </c>
      <c r="BZ18" s="112" t="e">
        <f t="shared" si="15"/>
        <v>#REF!</v>
      </c>
      <c r="CA18" s="112" t="e">
        <f t="shared" si="16"/>
        <v>#REF!</v>
      </c>
      <c r="CB18" s="112" t="e">
        <f>IF(ROUNDUP(CA18,0)&gt;='Front page'!$D$32,1,0)</f>
        <v>#REF!</v>
      </c>
    </row>
    <row r="19" spans="1:80" ht="14.25" customHeight="1">
      <c r="A19" s="93">
        <v>12</v>
      </c>
      <c r="B19" s="94"/>
      <c r="C19" s="94"/>
      <c r="D19" s="77">
        <v>2.5</v>
      </c>
      <c r="E19" s="77">
        <v>0</v>
      </c>
      <c r="F19" s="77">
        <v>3</v>
      </c>
      <c r="G19" s="77">
        <v>1.5</v>
      </c>
      <c r="H19" s="77">
        <v>5</v>
      </c>
      <c r="I19" s="77">
        <v>5</v>
      </c>
      <c r="J19" s="77">
        <v>2</v>
      </c>
      <c r="K19" s="95">
        <v>5</v>
      </c>
      <c r="L19" s="95">
        <v>5</v>
      </c>
      <c r="M19" s="95"/>
      <c r="N19" s="95"/>
      <c r="O19" s="82"/>
      <c r="P19" s="77">
        <v>3</v>
      </c>
      <c r="Q19" s="96"/>
      <c r="R19" s="96"/>
      <c r="S19" s="77"/>
      <c r="T19" s="77">
        <v>5</v>
      </c>
      <c r="U19" s="77"/>
      <c r="V19" s="83">
        <f t="shared" si="5"/>
        <v>32</v>
      </c>
      <c r="W19" s="183"/>
      <c r="X19" s="122">
        <v>0</v>
      </c>
      <c r="Y19" s="96">
        <v>5</v>
      </c>
      <c r="Z19" s="117">
        <v>5</v>
      </c>
      <c r="AA19" s="117"/>
      <c r="AB19" s="117"/>
      <c r="AC19" s="96">
        <v>5</v>
      </c>
      <c r="AD19" s="123">
        <v>2.5</v>
      </c>
      <c r="AE19" s="96"/>
      <c r="AF19" s="123"/>
      <c r="AG19" s="123"/>
      <c r="AH19" s="96">
        <v>4</v>
      </c>
      <c r="AI19" s="96">
        <v>5</v>
      </c>
      <c r="AJ19" s="117">
        <v>5</v>
      </c>
      <c r="AK19" s="117"/>
      <c r="AL19" s="117"/>
      <c r="AM19" s="123">
        <v>2</v>
      </c>
      <c r="AN19" s="117">
        <v>2.5</v>
      </c>
      <c r="AO19" s="117"/>
      <c r="AP19" s="117"/>
      <c r="AQ19" s="117"/>
      <c r="AR19" s="117"/>
      <c r="AS19" s="124"/>
      <c r="AT19" s="117"/>
      <c r="AU19" s="117"/>
      <c r="AV19" s="125"/>
      <c r="AW19" s="126">
        <f t="shared" si="6"/>
        <v>36</v>
      </c>
      <c r="AX19" s="40"/>
      <c r="AY19" s="187"/>
      <c r="AZ19" s="188">
        <f t="shared" si="17"/>
        <v>20.75</v>
      </c>
      <c r="BA19" s="189"/>
      <c r="BB19" s="188">
        <f t="shared" si="18"/>
        <v>22</v>
      </c>
      <c r="BC19" s="187"/>
      <c r="BD19" s="112">
        <f t="shared" si="19"/>
        <v>17</v>
      </c>
      <c r="BE19" s="189"/>
      <c r="BF19" s="112">
        <f t="shared" si="20"/>
        <v>8.25</v>
      </c>
      <c r="BG19" s="99"/>
      <c r="BH19" s="66"/>
      <c r="BI19" s="112">
        <f t="shared" si="0"/>
        <v>38.75</v>
      </c>
      <c r="BJ19" s="112">
        <f t="shared" si="7"/>
        <v>20.75</v>
      </c>
      <c r="BK19" s="112">
        <f t="shared" si="8"/>
        <v>53.548387096774199</v>
      </c>
      <c r="BL19" s="112">
        <f>IF(ROUNDUP(BK19,0)&gt;='Front page'!$D$32,1,0)</f>
        <v>1</v>
      </c>
      <c r="BM19" s="112">
        <f t="shared" si="1"/>
        <v>27.5</v>
      </c>
      <c r="BN19" s="112">
        <f t="shared" si="9"/>
        <v>22</v>
      </c>
      <c r="BO19" s="112">
        <f t="shared" si="10"/>
        <v>80</v>
      </c>
      <c r="BP19" s="112">
        <f>IF(ROUNDUP(BO19,0)&gt;='Front page'!$D$32,1,0)</f>
        <v>1</v>
      </c>
      <c r="BQ19" s="112">
        <f t="shared" si="2"/>
        <v>20</v>
      </c>
      <c r="BR19" s="112">
        <f t="shared" si="11"/>
        <v>17</v>
      </c>
      <c r="BS19" s="112">
        <f t="shared" si="12"/>
        <v>85</v>
      </c>
      <c r="BT19" s="112">
        <f>IF(ROUNDUP(BS19,0)&gt;='Front page'!$D$32,1,0)</f>
        <v>1</v>
      </c>
      <c r="BU19" s="112">
        <f t="shared" si="3"/>
        <v>13.75</v>
      </c>
      <c r="BV19" s="112">
        <f t="shared" si="13"/>
        <v>8.25</v>
      </c>
      <c r="BW19" s="112">
        <f t="shared" si="14"/>
        <v>60</v>
      </c>
      <c r="BX19" s="112">
        <f>IF(ROUNDUP(BW19,0)&gt;='Front page'!$D$32,1,0)</f>
        <v>1</v>
      </c>
      <c r="BY19" s="112" t="e">
        <f t="shared" si="4"/>
        <v>#REF!</v>
      </c>
      <c r="BZ19" s="112" t="e">
        <f t="shared" si="15"/>
        <v>#REF!</v>
      </c>
      <c r="CA19" s="112" t="e">
        <f t="shared" si="16"/>
        <v>#REF!</v>
      </c>
      <c r="CB19" s="112" t="e">
        <f>IF(ROUNDUP(CA19,0)&gt;='Front page'!$D$32,1,0)</f>
        <v>#REF!</v>
      </c>
    </row>
    <row r="20" spans="1:80" ht="14.25" customHeight="1">
      <c r="A20" s="93">
        <v>13</v>
      </c>
      <c r="B20" s="94"/>
      <c r="C20" s="94"/>
      <c r="D20" s="77">
        <v>4</v>
      </c>
      <c r="E20" s="77">
        <v>1</v>
      </c>
      <c r="F20" s="77">
        <v>2</v>
      </c>
      <c r="G20" s="77">
        <v>0.5</v>
      </c>
      <c r="H20" s="77">
        <v>5</v>
      </c>
      <c r="I20" s="77">
        <v>1</v>
      </c>
      <c r="J20" s="77">
        <v>0</v>
      </c>
      <c r="K20" s="95">
        <v>5</v>
      </c>
      <c r="L20" s="95">
        <v>5</v>
      </c>
      <c r="M20" s="95"/>
      <c r="N20" s="95"/>
      <c r="O20" s="82"/>
      <c r="P20" s="77">
        <v>3.5</v>
      </c>
      <c r="Q20" s="96"/>
      <c r="R20" s="96"/>
      <c r="S20" s="77"/>
      <c r="T20" s="77">
        <v>5</v>
      </c>
      <c r="U20" s="77"/>
      <c r="V20" s="83">
        <f t="shared" si="5"/>
        <v>27</v>
      </c>
      <c r="W20" s="183"/>
      <c r="X20" s="122">
        <v>2</v>
      </c>
      <c r="Y20" s="96">
        <v>3.5</v>
      </c>
      <c r="Z20" s="117">
        <v>1.5</v>
      </c>
      <c r="AA20" s="117"/>
      <c r="AB20" s="117"/>
      <c r="AC20" s="96">
        <v>2</v>
      </c>
      <c r="AD20" s="123">
        <v>0</v>
      </c>
      <c r="AE20" s="96"/>
      <c r="AF20" s="123"/>
      <c r="AG20" s="123"/>
      <c r="AH20" s="96">
        <v>2.5</v>
      </c>
      <c r="AI20" s="96">
        <v>1</v>
      </c>
      <c r="AJ20" s="117">
        <v>1</v>
      </c>
      <c r="AK20" s="117"/>
      <c r="AL20" s="117"/>
      <c r="AM20" s="123">
        <v>1</v>
      </c>
      <c r="AN20" s="117">
        <v>2.5</v>
      </c>
      <c r="AO20" s="117"/>
      <c r="AP20" s="117"/>
      <c r="AQ20" s="117"/>
      <c r="AR20" s="117"/>
      <c r="AS20" s="124"/>
      <c r="AT20" s="117"/>
      <c r="AU20" s="117"/>
      <c r="AV20" s="125"/>
      <c r="AW20" s="126">
        <f t="shared" si="6"/>
        <v>17</v>
      </c>
      <c r="AX20" s="40"/>
      <c r="AY20" s="187"/>
      <c r="AZ20" s="188">
        <f t="shared" si="17"/>
        <v>18.25</v>
      </c>
      <c r="BA20" s="189"/>
      <c r="BB20" s="188">
        <f t="shared" si="18"/>
        <v>10.5</v>
      </c>
      <c r="BC20" s="187"/>
      <c r="BD20" s="112">
        <f t="shared" si="19"/>
        <v>8</v>
      </c>
      <c r="BE20" s="189"/>
      <c r="BF20" s="112">
        <f t="shared" si="20"/>
        <v>7.25</v>
      </c>
      <c r="BG20" s="99"/>
      <c r="BH20" s="66"/>
      <c r="BI20" s="112">
        <f t="shared" si="0"/>
        <v>38.75</v>
      </c>
      <c r="BJ20" s="112">
        <f t="shared" si="7"/>
        <v>18.25</v>
      </c>
      <c r="BK20" s="112">
        <f t="shared" si="8"/>
        <v>47.096774193548384</v>
      </c>
      <c r="BL20" s="112">
        <f>IF(ROUNDUP(BK20,0)&gt;='Front page'!$D$32,1,0)</f>
        <v>0</v>
      </c>
      <c r="BM20" s="112">
        <f t="shared" si="1"/>
        <v>27.5</v>
      </c>
      <c r="BN20" s="112">
        <f t="shared" si="9"/>
        <v>10.5</v>
      </c>
      <c r="BO20" s="112">
        <f t="shared" si="10"/>
        <v>38.181818181818187</v>
      </c>
      <c r="BP20" s="112">
        <f>IF(ROUNDUP(BO20,0)&gt;='Front page'!$D$32,1,0)</f>
        <v>0</v>
      </c>
      <c r="BQ20" s="112">
        <f t="shared" si="2"/>
        <v>20</v>
      </c>
      <c r="BR20" s="112">
        <f t="shared" si="11"/>
        <v>8</v>
      </c>
      <c r="BS20" s="112">
        <f t="shared" si="12"/>
        <v>40</v>
      </c>
      <c r="BT20" s="112">
        <f>IF(ROUNDUP(BS20,0)&gt;='Front page'!$D$32,1,0)</f>
        <v>0</v>
      </c>
      <c r="BU20" s="112">
        <f t="shared" si="3"/>
        <v>13.75</v>
      </c>
      <c r="BV20" s="112">
        <f t="shared" si="13"/>
        <v>7.25</v>
      </c>
      <c r="BW20" s="112">
        <f t="shared" si="14"/>
        <v>52.72727272727272</v>
      </c>
      <c r="BX20" s="112">
        <f>IF(ROUNDUP(BW20,0)&gt;='Front page'!$D$32,1,0)</f>
        <v>1</v>
      </c>
      <c r="BY20" s="112" t="e">
        <f t="shared" si="4"/>
        <v>#REF!</v>
      </c>
      <c r="BZ20" s="112" t="e">
        <f t="shared" si="15"/>
        <v>#REF!</v>
      </c>
      <c r="CA20" s="112" t="e">
        <f t="shared" si="16"/>
        <v>#REF!</v>
      </c>
      <c r="CB20" s="112" t="e">
        <f>IF(ROUNDUP(CA20,0)&gt;='Front page'!$D$32,1,0)</f>
        <v>#REF!</v>
      </c>
    </row>
    <row r="21" spans="1:80" ht="14.25" customHeight="1">
      <c r="A21" s="93">
        <v>14</v>
      </c>
      <c r="B21" s="94"/>
      <c r="C21" s="94"/>
      <c r="D21" s="77">
        <v>3</v>
      </c>
      <c r="E21" s="77">
        <v>0</v>
      </c>
      <c r="F21" s="77">
        <v>4</v>
      </c>
      <c r="G21" s="77">
        <v>1.5</v>
      </c>
      <c r="H21" s="77">
        <v>4</v>
      </c>
      <c r="I21" s="77">
        <v>0.5</v>
      </c>
      <c r="J21" s="77">
        <v>2</v>
      </c>
      <c r="K21" s="95">
        <v>4</v>
      </c>
      <c r="L21" s="95">
        <v>4</v>
      </c>
      <c r="M21" s="95"/>
      <c r="N21" s="95"/>
      <c r="O21" s="82"/>
      <c r="P21" s="77">
        <v>0</v>
      </c>
      <c r="Q21" s="96"/>
      <c r="R21" s="96"/>
      <c r="S21" s="77"/>
      <c r="T21" s="77">
        <v>5</v>
      </c>
      <c r="U21" s="77"/>
      <c r="V21" s="83">
        <f t="shared" si="5"/>
        <v>24</v>
      </c>
      <c r="W21" s="183"/>
      <c r="X21" s="122">
        <v>0</v>
      </c>
      <c r="Y21" s="96">
        <v>5</v>
      </c>
      <c r="Z21" s="117">
        <v>0</v>
      </c>
      <c r="AA21" s="117"/>
      <c r="AB21" s="117"/>
      <c r="AC21" s="96">
        <v>2.5</v>
      </c>
      <c r="AD21" s="123">
        <v>2</v>
      </c>
      <c r="AE21" s="96"/>
      <c r="AF21" s="123"/>
      <c r="AG21" s="123"/>
      <c r="AH21" s="96">
        <v>1.5</v>
      </c>
      <c r="AI21" s="96">
        <v>2.5</v>
      </c>
      <c r="AJ21" s="117">
        <v>2.5</v>
      </c>
      <c r="AK21" s="117"/>
      <c r="AL21" s="117"/>
      <c r="AM21" s="123">
        <v>2</v>
      </c>
      <c r="AN21" s="117">
        <v>3</v>
      </c>
      <c r="AO21" s="117"/>
      <c r="AP21" s="117"/>
      <c r="AQ21" s="117"/>
      <c r="AR21" s="117"/>
      <c r="AS21" s="124"/>
      <c r="AT21" s="117"/>
      <c r="AU21" s="117"/>
      <c r="AV21" s="125"/>
      <c r="AW21" s="126">
        <f t="shared" si="6"/>
        <v>21</v>
      </c>
      <c r="AX21" s="40"/>
      <c r="AY21" s="187"/>
      <c r="AZ21" s="188">
        <f t="shared" si="17"/>
        <v>16.5</v>
      </c>
      <c r="BA21" s="189"/>
      <c r="BB21" s="188">
        <f t="shared" si="18"/>
        <v>13</v>
      </c>
      <c r="BC21" s="187"/>
      <c r="BD21" s="112">
        <f t="shared" si="19"/>
        <v>6.5</v>
      </c>
      <c r="BE21" s="189"/>
      <c r="BF21" s="112">
        <f t="shared" si="20"/>
        <v>8.75</v>
      </c>
      <c r="BG21" s="99"/>
      <c r="BH21" s="66"/>
      <c r="BI21" s="112">
        <f t="shared" si="0"/>
        <v>38.75</v>
      </c>
      <c r="BJ21" s="112">
        <f t="shared" si="7"/>
        <v>16.5</v>
      </c>
      <c r="BK21" s="112">
        <f t="shared" si="8"/>
        <v>42.58064516129032</v>
      </c>
      <c r="BL21" s="112">
        <f>IF(ROUNDUP(BK21,0)&gt;='Front page'!$D$32,1,0)</f>
        <v>0</v>
      </c>
      <c r="BM21" s="112">
        <f t="shared" si="1"/>
        <v>27.5</v>
      </c>
      <c r="BN21" s="112">
        <f t="shared" si="9"/>
        <v>13</v>
      </c>
      <c r="BO21" s="112">
        <f t="shared" si="10"/>
        <v>47.272727272727273</v>
      </c>
      <c r="BP21" s="112">
        <f>IF(ROUNDUP(BO21,0)&gt;='Front page'!$D$32,1,0)</f>
        <v>0</v>
      </c>
      <c r="BQ21" s="112">
        <f t="shared" si="2"/>
        <v>20</v>
      </c>
      <c r="BR21" s="112">
        <f t="shared" si="11"/>
        <v>6.5</v>
      </c>
      <c r="BS21" s="112">
        <f t="shared" si="12"/>
        <v>32.5</v>
      </c>
      <c r="BT21" s="112">
        <f>IF(ROUNDUP(BS21,0)&gt;='Front page'!$D$32,1,0)</f>
        <v>0</v>
      </c>
      <c r="BU21" s="112">
        <f t="shared" si="3"/>
        <v>13.75</v>
      </c>
      <c r="BV21" s="112">
        <f t="shared" si="13"/>
        <v>8.75</v>
      </c>
      <c r="BW21" s="112">
        <f t="shared" si="14"/>
        <v>63.636363636363633</v>
      </c>
      <c r="BX21" s="112">
        <f>IF(ROUNDUP(BW21,0)&gt;='Front page'!$D$32,1,0)</f>
        <v>1</v>
      </c>
      <c r="BY21" s="112" t="e">
        <f t="shared" si="4"/>
        <v>#REF!</v>
      </c>
      <c r="BZ21" s="112" t="e">
        <f t="shared" si="15"/>
        <v>#REF!</v>
      </c>
      <c r="CA21" s="112" t="e">
        <f t="shared" si="16"/>
        <v>#REF!</v>
      </c>
      <c r="CB21" s="112" t="e">
        <f>IF(ROUNDUP(CA21,0)&gt;='Front page'!$D$32,1,0)</f>
        <v>#REF!</v>
      </c>
    </row>
    <row r="22" spans="1:80" ht="14.25" customHeight="1">
      <c r="A22" s="93">
        <v>15</v>
      </c>
      <c r="B22" s="94"/>
      <c r="C22" s="94"/>
      <c r="D22" s="77">
        <v>2</v>
      </c>
      <c r="E22" s="77">
        <v>1.5</v>
      </c>
      <c r="F22" s="77">
        <v>4.5</v>
      </c>
      <c r="G22" s="77">
        <v>5</v>
      </c>
      <c r="H22" s="77">
        <v>4</v>
      </c>
      <c r="I22" s="77">
        <v>5</v>
      </c>
      <c r="J22" s="77">
        <v>0</v>
      </c>
      <c r="K22" s="95">
        <v>4</v>
      </c>
      <c r="L22" s="95">
        <v>5</v>
      </c>
      <c r="M22" s="95"/>
      <c r="N22" s="95"/>
      <c r="O22" s="82"/>
      <c r="P22" s="77">
        <v>2</v>
      </c>
      <c r="Q22" s="96"/>
      <c r="R22" s="96"/>
      <c r="S22" s="77"/>
      <c r="T22" s="77">
        <v>5</v>
      </c>
      <c r="U22" s="77"/>
      <c r="V22" s="83">
        <f t="shared" si="5"/>
        <v>34</v>
      </c>
      <c r="W22" s="183"/>
      <c r="X22" s="122">
        <v>0</v>
      </c>
      <c r="Y22" s="96">
        <v>3.5</v>
      </c>
      <c r="Z22" s="117">
        <v>0</v>
      </c>
      <c r="AA22" s="117"/>
      <c r="AB22" s="117"/>
      <c r="AC22" s="96">
        <v>2.5</v>
      </c>
      <c r="AD22" s="123">
        <v>2</v>
      </c>
      <c r="AE22" s="96"/>
      <c r="AF22" s="123"/>
      <c r="AG22" s="123"/>
      <c r="AH22" s="96">
        <v>2.5</v>
      </c>
      <c r="AI22" s="96">
        <v>3.5</v>
      </c>
      <c r="AJ22" s="117">
        <v>0</v>
      </c>
      <c r="AK22" s="117"/>
      <c r="AL22" s="117"/>
      <c r="AM22" s="123">
        <v>5</v>
      </c>
      <c r="AN22" s="117">
        <v>2</v>
      </c>
      <c r="AO22" s="117"/>
      <c r="AP22" s="117"/>
      <c r="AQ22" s="117"/>
      <c r="AR22" s="117"/>
      <c r="AS22" s="124"/>
      <c r="AT22" s="117"/>
      <c r="AU22" s="117"/>
      <c r="AV22" s="125"/>
      <c r="AW22" s="126">
        <f t="shared" si="6"/>
        <v>21</v>
      </c>
      <c r="AX22" s="40"/>
      <c r="AY22" s="187"/>
      <c r="AZ22" s="188">
        <f t="shared" si="17"/>
        <v>19.5</v>
      </c>
      <c r="BA22" s="189"/>
      <c r="BB22" s="188">
        <f t="shared" si="18"/>
        <v>16.25</v>
      </c>
      <c r="BC22" s="187"/>
      <c r="BD22" s="112">
        <f t="shared" si="19"/>
        <v>8</v>
      </c>
      <c r="BE22" s="189"/>
      <c r="BF22" s="112">
        <f t="shared" si="20"/>
        <v>10.75</v>
      </c>
      <c r="BG22" s="99"/>
      <c r="BH22" s="66"/>
      <c r="BI22" s="112">
        <f t="shared" si="0"/>
        <v>38.75</v>
      </c>
      <c r="BJ22" s="112">
        <f t="shared" si="7"/>
        <v>19.5</v>
      </c>
      <c r="BK22" s="112">
        <f t="shared" si="8"/>
        <v>50.322580645161288</v>
      </c>
      <c r="BL22" s="112">
        <f>IF(ROUNDUP(BK22,0)&gt;='Front page'!$D$32,1,0)</f>
        <v>1</v>
      </c>
      <c r="BM22" s="112">
        <f t="shared" si="1"/>
        <v>27.5</v>
      </c>
      <c r="BN22" s="112">
        <f t="shared" si="9"/>
        <v>16.25</v>
      </c>
      <c r="BO22" s="112">
        <f t="shared" si="10"/>
        <v>59.090909090909093</v>
      </c>
      <c r="BP22" s="112">
        <f>IF(ROUNDUP(BO22,0)&gt;='Front page'!$D$32,1,0)</f>
        <v>1</v>
      </c>
      <c r="BQ22" s="112">
        <f t="shared" si="2"/>
        <v>20</v>
      </c>
      <c r="BR22" s="112">
        <f t="shared" si="11"/>
        <v>8</v>
      </c>
      <c r="BS22" s="112">
        <f t="shared" si="12"/>
        <v>40</v>
      </c>
      <c r="BT22" s="112">
        <f>IF(ROUNDUP(BS22,0)&gt;='Front page'!$D$32,1,0)</f>
        <v>0</v>
      </c>
      <c r="BU22" s="112">
        <f t="shared" si="3"/>
        <v>13.75</v>
      </c>
      <c r="BV22" s="112">
        <f t="shared" si="13"/>
        <v>10.75</v>
      </c>
      <c r="BW22" s="112">
        <f t="shared" si="14"/>
        <v>78.181818181818187</v>
      </c>
      <c r="BX22" s="112">
        <f>IF(ROUNDUP(BW22,0)&gt;='Front page'!$D$32,1,0)</f>
        <v>1</v>
      </c>
      <c r="BY22" s="112" t="e">
        <f t="shared" si="4"/>
        <v>#REF!</v>
      </c>
      <c r="BZ22" s="112" t="e">
        <f t="shared" si="15"/>
        <v>#REF!</v>
      </c>
      <c r="CA22" s="112" t="e">
        <f t="shared" si="16"/>
        <v>#REF!</v>
      </c>
      <c r="CB22" s="112" t="e">
        <f>IF(ROUNDUP(CA22,0)&gt;='Front page'!$D$32,1,0)</f>
        <v>#REF!</v>
      </c>
    </row>
    <row r="23" spans="1:80" ht="14.25" customHeight="1">
      <c r="A23" s="93">
        <v>16</v>
      </c>
      <c r="B23" s="94"/>
      <c r="C23" s="94"/>
      <c r="D23" s="77">
        <v>5</v>
      </c>
      <c r="E23" s="77">
        <v>5</v>
      </c>
      <c r="F23" s="77">
        <v>5</v>
      </c>
      <c r="G23" s="77">
        <v>5</v>
      </c>
      <c r="H23" s="77">
        <v>5</v>
      </c>
      <c r="I23" s="77">
        <v>0</v>
      </c>
      <c r="J23" s="77">
        <v>0</v>
      </c>
      <c r="K23" s="95">
        <v>5</v>
      </c>
      <c r="L23" s="95">
        <v>5</v>
      </c>
      <c r="M23" s="95"/>
      <c r="N23" s="95"/>
      <c r="O23" s="82"/>
      <c r="P23" s="77">
        <v>2</v>
      </c>
      <c r="Q23" s="96"/>
      <c r="R23" s="96"/>
      <c r="S23" s="77"/>
      <c r="T23" s="77">
        <v>5</v>
      </c>
      <c r="U23" s="77"/>
      <c r="V23" s="83">
        <f t="shared" si="5"/>
        <v>37</v>
      </c>
      <c r="W23" s="183"/>
      <c r="X23" s="122">
        <v>0</v>
      </c>
      <c r="Y23" s="96">
        <v>3.5</v>
      </c>
      <c r="Z23" s="117">
        <v>0</v>
      </c>
      <c r="AA23" s="117"/>
      <c r="AB23" s="117"/>
      <c r="AC23" s="96">
        <v>0.5</v>
      </c>
      <c r="AD23" s="123">
        <v>2.5</v>
      </c>
      <c r="AE23" s="96"/>
      <c r="AF23" s="123"/>
      <c r="AG23" s="123"/>
      <c r="AH23" s="96">
        <v>4.5</v>
      </c>
      <c r="AI23" s="96">
        <v>5</v>
      </c>
      <c r="AJ23" s="117">
        <v>0</v>
      </c>
      <c r="AK23" s="117"/>
      <c r="AL23" s="117"/>
      <c r="AM23" s="123">
        <v>0</v>
      </c>
      <c r="AN23" s="117">
        <v>5</v>
      </c>
      <c r="AO23" s="117"/>
      <c r="AP23" s="117"/>
      <c r="AQ23" s="117"/>
      <c r="AR23" s="117"/>
      <c r="AS23" s="124"/>
      <c r="AT23" s="117"/>
      <c r="AU23" s="117"/>
      <c r="AV23" s="125"/>
      <c r="AW23" s="126">
        <f t="shared" si="6"/>
        <v>21</v>
      </c>
      <c r="AX23" s="40"/>
      <c r="AY23" s="187"/>
      <c r="AZ23" s="188">
        <f t="shared" si="17"/>
        <v>27.25</v>
      </c>
      <c r="BA23" s="189"/>
      <c r="BB23" s="188">
        <f t="shared" si="18"/>
        <v>10.5</v>
      </c>
      <c r="BC23" s="187"/>
      <c r="BD23" s="112">
        <f t="shared" si="19"/>
        <v>11.5</v>
      </c>
      <c r="BE23" s="189"/>
      <c r="BF23" s="112">
        <f t="shared" si="20"/>
        <v>8.75</v>
      </c>
      <c r="BG23" s="99"/>
      <c r="BH23" s="66"/>
      <c r="BI23" s="112">
        <f t="shared" si="0"/>
        <v>38.75</v>
      </c>
      <c r="BJ23" s="112">
        <f t="shared" si="7"/>
        <v>27.25</v>
      </c>
      <c r="BK23" s="112">
        <f t="shared" si="8"/>
        <v>70.322580645161295</v>
      </c>
      <c r="BL23" s="112">
        <f>IF(ROUNDUP(BK23,0)&gt;='Front page'!$D$32,1,0)</f>
        <v>1</v>
      </c>
      <c r="BM23" s="112">
        <f t="shared" si="1"/>
        <v>27.5</v>
      </c>
      <c r="BN23" s="112">
        <f t="shared" si="9"/>
        <v>10.5</v>
      </c>
      <c r="BO23" s="112">
        <f t="shared" si="10"/>
        <v>38.181818181818187</v>
      </c>
      <c r="BP23" s="112">
        <f>IF(ROUNDUP(BO23,0)&gt;='Front page'!$D$32,1,0)</f>
        <v>0</v>
      </c>
      <c r="BQ23" s="112">
        <f t="shared" si="2"/>
        <v>20</v>
      </c>
      <c r="BR23" s="112">
        <f t="shared" si="11"/>
        <v>11.5</v>
      </c>
      <c r="BS23" s="112">
        <f t="shared" si="12"/>
        <v>57.499999999999993</v>
      </c>
      <c r="BT23" s="112">
        <f>IF(ROUNDUP(BS23,0)&gt;='Front page'!$D$32,1,0)</f>
        <v>1</v>
      </c>
      <c r="BU23" s="112">
        <f t="shared" si="3"/>
        <v>13.75</v>
      </c>
      <c r="BV23" s="112">
        <f t="shared" si="13"/>
        <v>8.75</v>
      </c>
      <c r="BW23" s="112">
        <f t="shared" si="14"/>
        <v>63.636363636363633</v>
      </c>
      <c r="BX23" s="112">
        <f>IF(ROUNDUP(BW23,0)&gt;='Front page'!$D$32,1,0)</f>
        <v>1</v>
      </c>
      <c r="BY23" s="112" t="e">
        <f t="shared" si="4"/>
        <v>#REF!</v>
      </c>
      <c r="BZ23" s="112" t="e">
        <f t="shared" si="15"/>
        <v>#REF!</v>
      </c>
      <c r="CA23" s="112" t="e">
        <f t="shared" si="16"/>
        <v>#REF!</v>
      </c>
      <c r="CB23" s="112" t="e">
        <f>IF(ROUNDUP(CA23,0)&gt;='Front page'!$D$32,1,0)</f>
        <v>#REF!</v>
      </c>
    </row>
    <row r="24" spans="1:80" ht="14.25" customHeight="1">
      <c r="A24" s="93">
        <v>17</v>
      </c>
      <c r="B24" s="94"/>
      <c r="C24" s="94"/>
      <c r="D24" s="77">
        <v>5</v>
      </c>
      <c r="E24" s="77">
        <v>0</v>
      </c>
      <c r="F24" s="77">
        <v>5</v>
      </c>
      <c r="G24" s="77">
        <v>0.5</v>
      </c>
      <c r="H24" s="77">
        <v>5</v>
      </c>
      <c r="I24" s="77">
        <v>4</v>
      </c>
      <c r="J24" s="77">
        <v>3</v>
      </c>
      <c r="K24" s="95">
        <v>5</v>
      </c>
      <c r="L24" s="95">
        <v>5</v>
      </c>
      <c r="M24" s="95"/>
      <c r="N24" s="95"/>
      <c r="O24" s="82"/>
      <c r="P24" s="77">
        <v>2.5</v>
      </c>
      <c r="Q24" s="96"/>
      <c r="R24" s="96"/>
      <c r="S24" s="77"/>
      <c r="T24" s="77">
        <v>5</v>
      </c>
      <c r="U24" s="77"/>
      <c r="V24" s="83">
        <f t="shared" si="5"/>
        <v>35</v>
      </c>
      <c r="W24" s="183"/>
      <c r="X24" s="122">
        <v>0.5</v>
      </c>
      <c r="Y24" s="96">
        <v>5</v>
      </c>
      <c r="Z24" s="117">
        <v>0</v>
      </c>
      <c r="AA24" s="117"/>
      <c r="AB24" s="117"/>
      <c r="AC24" s="96">
        <v>5</v>
      </c>
      <c r="AD24" s="123">
        <v>2.5</v>
      </c>
      <c r="AE24" s="96"/>
      <c r="AF24" s="123"/>
      <c r="AG24" s="123"/>
      <c r="AH24" s="96">
        <v>2.5</v>
      </c>
      <c r="AI24" s="96">
        <v>4.5</v>
      </c>
      <c r="AJ24" s="117">
        <v>5</v>
      </c>
      <c r="AK24" s="117"/>
      <c r="AL24" s="117"/>
      <c r="AM24" s="123">
        <v>0</v>
      </c>
      <c r="AN24" s="117">
        <v>1</v>
      </c>
      <c r="AO24" s="117"/>
      <c r="AP24" s="117"/>
      <c r="AQ24" s="117"/>
      <c r="AR24" s="117"/>
      <c r="AS24" s="124"/>
      <c r="AT24" s="117"/>
      <c r="AU24" s="117"/>
      <c r="AV24" s="125"/>
      <c r="AW24" s="126">
        <f t="shared" si="6"/>
        <v>26</v>
      </c>
      <c r="AX24" s="40"/>
      <c r="AY24" s="187"/>
      <c r="AZ24" s="188">
        <f t="shared" si="17"/>
        <v>19.75</v>
      </c>
      <c r="BA24" s="189"/>
      <c r="BB24" s="188">
        <f t="shared" si="18"/>
        <v>22</v>
      </c>
      <c r="BC24" s="187"/>
      <c r="BD24" s="112">
        <f t="shared" si="19"/>
        <v>14.5</v>
      </c>
      <c r="BE24" s="189"/>
      <c r="BF24" s="112">
        <f t="shared" si="20"/>
        <v>4.75</v>
      </c>
      <c r="BG24" s="99"/>
      <c r="BH24" s="66"/>
      <c r="BI24" s="112">
        <f t="shared" si="0"/>
        <v>38.75</v>
      </c>
      <c r="BJ24" s="112">
        <f t="shared" si="7"/>
        <v>19.75</v>
      </c>
      <c r="BK24" s="112">
        <f t="shared" si="8"/>
        <v>50.967741935483865</v>
      </c>
      <c r="BL24" s="112">
        <f>IF(ROUNDUP(BK24,0)&gt;='Front page'!$D$32,1,0)</f>
        <v>1</v>
      </c>
      <c r="BM24" s="112">
        <f t="shared" si="1"/>
        <v>27.5</v>
      </c>
      <c r="BN24" s="112">
        <f t="shared" si="9"/>
        <v>22</v>
      </c>
      <c r="BO24" s="112">
        <f t="shared" si="10"/>
        <v>80</v>
      </c>
      <c r="BP24" s="112">
        <f>IF(ROUNDUP(BO24,0)&gt;='Front page'!$D$32,1,0)</f>
        <v>1</v>
      </c>
      <c r="BQ24" s="112">
        <f t="shared" si="2"/>
        <v>20</v>
      </c>
      <c r="BR24" s="112">
        <f t="shared" si="11"/>
        <v>14.5</v>
      </c>
      <c r="BS24" s="112">
        <f t="shared" si="12"/>
        <v>72.5</v>
      </c>
      <c r="BT24" s="112">
        <f>IF(ROUNDUP(BS24,0)&gt;='Front page'!$D$32,1,0)</f>
        <v>1</v>
      </c>
      <c r="BU24" s="112">
        <f t="shared" si="3"/>
        <v>13.75</v>
      </c>
      <c r="BV24" s="112">
        <f t="shared" si="13"/>
        <v>4.75</v>
      </c>
      <c r="BW24" s="112">
        <f t="shared" si="14"/>
        <v>34.545454545454547</v>
      </c>
      <c r="BX24" s="112">
        <f>IF(ROUNDUP(BW24,0)&gt;='Front page'!$D$32,1,0)</f>
        <v>0</v>
      </c>
      <c r="BY24" s="112" t="e">
        <f t="shared" si="4"/>
        <v>#REF!</v>
      </c>
      <c r="BZ24" s="112" t="e">
        <f t="shared" si="15"/>
        <v>#REF!</v>
      </c>
      <c r="CA24" s="112" t="e">
        <f t="shared" si="16"/>
        <v>#REF!</v>
      </c>
      <c r="CB24" s="112" t="e">
        <f>IF(ROUNDUP(CA24,0)&gt;='Front page'!$D$32,1,0)</f>
        <v>#REF!</v>
      </c>
    </row>
    <row r="25" spans="1:80" ht="14.25" customHeight="1">
      <c r="A25" s="93">
        <v>18</v>
      </c>
      <c r="B25" s="94"/>
      <c r="C25" s="94"/>
      <c r="D25" s="77">
        <v>3</v>
      </c>
      <c r="E25" s="77">
        <v>1</v>
      </c>
      <c r="F25" s="77">
        <v>5</v>
      </c>
      <c r="G25" s="77">
        <v>1</v>
      </c>
      <c r="H25" s="77">
        <v>4</v>
      </c>
      <c r="I25" s="77">
        <v>2</v>
      </c>
      <c r="J25" s="77">
        <v>3</v>
      </c>
      <c r="K25" s="95">
        <v>4</v>
      </c>
      <c r="L25" s="95">
        <v>5</v>
      </c>
      <c r="M25" s="95"/>
      <c r="N25" s="95"/>
      <c r="O25" s="82"/>
      <c r="P25" s="77">
        <v>0</v>
      </c>
      <c r="Q25" s="96"/>
      <c r="R25" s="96"/>
      <c r="S25" s="77"/>
      <c r="T25" s="77">
        <v>5</v>
      </c>
      <c r="U25" s="77"/>
      <c r="V25" s="83">
        <f t="shared" si="5"/>
        <v>29</v>
      </c>
      <c r="W25" s="183"/>
      <c r="X25" s="122">
        <v>0</v>
      </c>
      <c r="Y25" s="96">
        <v>5</v>
      </c>
      <c r="Z25" s="117">
        <v>2.5</v>
      </c>
      <c r="AA25" s="117"/>
      <c r="AB25" s="117"/>
      <c r="AC25" s="96">
        <v>5</v>
      </c>
      <c r="AD25" s="123">
        <v>3</v>
      </c>
      <c r="AE25" s="96"/>
      <c r="AF25" s="123"/>
      <c r="AG25" s="123"/>
      <c r="AH25" s="96">
        <v>3.5</v>
      </c>
      <c r="AI25" s="96">
        <v>5</v>
      </c>
      <c r="AJ25" s="117">
        <v>3</v>
      </c>
      <c r="AK25" s="117"/>
      <c r="AL25" s="117"/>
      <c r="AM25" s="123">
        <v>0</v>
      </c>
      <c r="AN25" s="117">
        <v>2</v>
      </c>
      <c r="AO25" s="117"/>
      <c r="AP25" s="117"/>
      <c r="AQ25" s="117"/>
      <c r="AR25" s="117"/>
      <c r="AS25" s="124"/>
      <c r="AT25" s="117"/>
      <c r="AU25" s="117"/>
      <c r="AV25" s="125"/>
      <c r="AW25" s="126">
        <f t="shared" si="6"/>
        <v>29</v>
      </c>
      <c r="AX25" s="40"/>
      <c r="AY25" s="187"/>
      <c r="AZ25" s="188">
        <f t="shared" si="17"/>
        <v>20.5</v>
      </c>
      <c r="BA25" s="189"/>
      <c r="BB25" s="188">
        <f t="shared" si="18"/>
        <v>19.75</v>
      </c>
      <c r="BC25" s="187"/>
      <c r="BD25" s="112">
        <f t="shared" si="19"/>
        <v>11.5</v>
      </c>
      <c r="BE25" s="189"/>
      <c r="BF25" s="112">
        <f t="shared" si="20"/>
        <v>5.75</v>
      </c>
      <c r="BG25" s="99"/>
      <c r="BH25" s="66"/>
      <c r="BI25" s="112">
        <f t="shared" si="0"/>
        <v>38.75</v>
      </c>
      <c r="BJ25" s="112">
        <f t="shared" si="7"/>
        <v>20.5</v>
      </c>
      <c r="BK25" s="112">
        <f t="shared" si="8"/>
        <v>52.903225806451616</v>
      </c>
      <c r="BL25" s="112">
        <f>IF(ROUNDUP(BK25,0)&gt;='Front page'!$D$32,1,0)</f>
        <v>1</v>
      </c>
      <c r="BM25" s="112">
        <f t="shared" si="1"/>
        <v>27.5</v>
      </c>
      <c r="BN25" s="112">
        <f t="shared" si="9"/>
        <v>19.75</v>
      </c>
      <c r="BO25" s="112">
        <f t="shared" si="10"/>
        <v>71.818181818181813</v>
      </c>
      <c r="BP25" s="112">
        <f>IF(ROUNDUP(BO25,0)&gt;='Front page'!$D$32,1,0)</f>
        <v>1</v>
      </c>
      <c r="BQ25" s="112">
        <f t="shared" si="2"/>
        <v>20</v>
      </c>
      <c r="BR25" s="112">
        <f t="shared" si="11"/>
        <v>11.5</v>
      </c>
      <c r="BS25" s="112">
        <f t="shared" si="12"/>
        <v>57.499999999999993</v>
      </c>
      <c r="BT25" s="112">
        <f>IF(ROUNDUP(BS25,0)&gt;='Front page'!$D$32,1,0)</f>
        <v>1</v>
      </c>
      <c r="BU25" s="112">
        <f t="shared" si="3"/>
        <v>13.75</v>
      </c>
      <c r="BV25" s="112">
        <f t="shared" si="13"/>
        <v>5.75</v>
      </c>
      <c r="BW25" s="112">
        <f t="shared" si="14"/>
        <v>41.818181818181813</v>
      </c>
      <c r="BX25" s="112">
        <f>IF(ROUNDUP(BW25,0)&gt;='Front page'!$D$32,1,0)</f>
        <v>0</v>
      </c>
      <c r="BY25" s="112" t="e">
        <f t="shared" si="4"/>
        <v>#REF!</v>
      </c>
      <c r="BZ25" s="112" t="e">
        <f t="shared" si="15"/>
        <v>#REF!</v>
      </c>
      <c r="CA25" s="112" t="e">
        <f t="shared" si="16"/>
        <v>#REF!</v>
      </c>
      <c r="CB25" s="112" t="e">
        <f>IF(ROUNDUP(CA25,0)&gt;='Front page'!$D$32,1,0)</f>
        <v>#REF!</v>
      </c>
    </row>
    <row r="26" spans="1:80" ht="14.25" customHeight="1">
      <c r="A26" s="93">
        <v>19</v>
      </c>
      <c r="B26" s="94"/>
      <c r="C26" s="94"/>
      <c r="D26" s="77">
        <v>2.5</v>
      </c>
      <c r="E26" s="77">
        <v>0</v>
      </c>
      <c r="F26" s="77">
        <v>2.5</v>
      </c>
      <c r="G26" s="77">
        <v>1.5</v>
      </c>
      <c r="H26" s="77">
        <v>5</v>
      </c>
      <c r="I26" s="77">
        <v>2</v>
      </c>
      <c r="J26" s="77">
        <v>0</v>
      </c>
      <c r="K26" s="95">
        <v>5</v>
      </c>
      <c r="L26" s="95">
        <v>5</v>
      </c>
      <c r="M26" s="95"/>
      <c r="N26" s="95"/>
      <c r="O26" s="82"/>
      <c r="P26" s="77">
        <v>3.5</v>
      </c>
      <c r="Q26" s="96"/>
      <c r="R26" s="96"/>
      <c r="S26" s="77"/>
      <c r="T26" s="77">
        <v>5</v>
      </c>
      <c r="U26" s="77"/>
      <c r="V26" s="83">
        <f t="shared" si="5"/>
        <v>27</v>
      </c>
      <c r="W26" s="183"/>
      <c r="X26" s="122">
        <v>1.5</v>
      </c>
      <c r="Y26" s="96">
        <v>5</v>
      </c>
      <c r="Z26" s="117">
        <v>2</v>
      </c>
      <c r="AA26" s="117"/>
      <c r="AB26" s="117"/>
      <c r="AC26" s="96">
        <v>0</v>
      </c>
      <c r="AD26" s="123">
        <v>2.5</v>
      </c>
      <c r="AE26" s="96"/>
      <c r="AF26" s="123"/>
      <c r="AG26" s="123"/>
      <c r="AH26" s="96">
        <v>2.5</v>
      </c>
      <c r="AI26" s="96">
        <v>2</v>
      </c>
      <c r="AJ26" s="117">
        <v>3</v>
      </c>
      <c r="AK26" s="117"/>
      <c r="AL26" s="117"/>
      <c r="AM26" s="123">
        <v>2.5</v>
      </c>
      <c r="AN26" s="117">
        <v>2</v>
      </c>
      <c r="AO26" s="117"/>
      <c r="AP26" s="117"/>
      <c r="AQ26" s="117"/>
      <c r="AR26" s="117"/>
      <c r="AS26" s="124"/>
      <c r="AT26" s="117"/>
      <c r="AU26" s="117"/>
      <c r="AV26" s="125"/>
      <c r="AW26" s="126">
        <f t="shared" si="6"/>
        <v>23</v>
      </c>
      <c r="AX26" s="40"/>
      <c r="AY26" s="187"/>
      <c r="AZ26" s="188">
        <f t="shared" si="17"/>
        <v>18.75</v>
      </c>
      <c r="BA26" s="189"/>
      <c r="BB26" s="188">
        <f t="shared" si="18"/>
        <v>12</v>
      </c>
      <c r="BC26" s="187"/>
      <c r="BD26" s="112">
        <f t="shared" si="19"/>
        <v>11</v>
      </c>
      <c r="BE26" s="189"/>
      <c r="BF26" s="112">
        <f t="shared" si="20"/>
        <v>8.25</v>
      </c>
      <c r="BG26" s="99"/>
      <c r="BH26" s="66"/>
      <c r="BI26" s="112">
        <f t="shared" si="0"/>
        <v>38.75</v>
      </c>
      <c r="BJ26" s="112">
        <f t="shared" si="7"/>
        <v>18.75</v>
      </c>
      <c r="BK26" s="112">
        <f t="shared" si="8"/>
        <v>48.387096774193552</v>
      </c>
      <c r="BL26" s="112">
        <f>IF(ROUNDUP(BK26,0)&gt;='Front page'!$D$32,1,0)</f>
        <v>0</v>
      </c>
      <c r="BM26" s="112">
        <f t="shared" si="1"/>
        <v>27.5</v>
      </c>
      <c r="BN26" s="112">
        <f t="shared" si="9"/>
        <v>12</v>
      </c>
      <c r="BO26" s="112">
        <f t="shared" si="10"/>
        <v>43.636363636363633</v>
      </c>
      <c r="BP26" s="112">
        <f>IF(ROUNDUP(BO26,0)&gt;='Front page'!$D$32,1,0)</f>
        <v>0</v>
      </c>
      <c r="BQ26" s="112">
        <f t="shared" si="2"/>
        <v>20</v>
      </c>
      <c r="BR26" s="112">
        <f t="shared" si="11"/>
        <v>11</v>
      </c>
      <c r="BS26" s="112">
        <f t="shared" si="12"/>
        <v>55.000000000000007</v>
      </c>
      <c r="BT26" s="112">
        <f>IF(ROUNDUP(BS26,0)&gt;='Front page'!$D$32,1,0)</f>
        <v>1</v>
      </c>
      <c r="BU26" s="112">
        <f t="shared" si="3"/>
        <v>13.75</v>
      </c>
      <c r="BV26" s="112">
        <f t="shared" si="13"/>
        <v>8.25</v>
      </c>
      <c r="BW26" s="112">
        <f t="shared" si="14"/>
        <v>60</v>
      </c>
      <c r="BX26" s="112">
        <f>IF(ROUNDUP(BW26,0)&gt;='Front page'!$D$32,1,0)</f>
        <v>1</v>
      </c>
      <c r="BY26" s="112" t="e">
        <f t="shared" si="4"/>
        <v>#REF!</v>
      </c>
      <c r="BZ26" s="112" t="e">
        <f t="shared" si="15"/>
        <v>#REF!</v>
      </c>
      <c r="CA26" s="112" t="e">
        <f t="shared" si="16"/>
        <v>#REF!</v>
      </c>
      <c r="CB26" s="112" t="e">
        <f>IF(ROUNDUP(CA26,0)&gt;='Front page'!$D$32,1,0)</f>
        <v>#REF!</v>
      </c>
    </row>
    <row r="27" spans="1:80" ht="14.25" customHeight="1">
      <c r="A27" s="93">
        <v>20</v>
      </c>
      <c r="B27" s="94"/>
      <c r="C27" s="94"/>
      <c r="D27" s="77">
        <v>4</v>
      </c>
      <c r="E27" s="77">
        <v>2.5</v>
      </c>
      <c r="F27" s="77">
        <v>2.5</v>
      </c>
      <c r="G27" s="77">
        <v>0</v>
      </c>
      <c r="H27" s="77">
        <v>4</v>
      </c>
      <c r="I27" s="77">
        <v>3</v>
      </c>
      <c r="J27" s="77">
        <v>2</v>
      </c>
      <c r="K27" s="95">
        <v>4</v>
      </c>
      <c r="L27" s="95">
        <v>5</v>
      </c>
      <c r="M27" s="95"/>
      <c r="N27" s="95"/>
      <c r="O27" s="82"/>
      <c r="P27" s="77">
        <v>3</v>
      </c>
      <c r="Q27" s="96"/>
      <c r="R27" s="96"/>
      <c r="S27" s="77"/>
      <c r="T27" s="77">
        <v>4</v>
      </c>
      <c r="U27" s="77"/>
      <c r="V27" s="83">
        <f t="shared" si="5"/>
        <v>30</v>
      </c>
      <c r="W27" s="183"/>
      <c r="X27" s="122">
        <v>1</v>
      </c>
      <c r="Y27" s="96">
        <v>2</v>
      </c>
      <c r="Z27" s="117">
        <v>1</v>
      </c>
      <c r="AA27" s="117"/>
      <c r="AB27" s="117"/>
      <c r="AC27" s="96">
        <v>0.5</v>
      </c>
      <c r="AD27" s="123">
        <v>0</v>
      </c>
      <c r="AE27" s="96"/>
      <c r="AF27" s="123"/>
      <c r="AG27" s="123"/>
      <c r="AH27" s="96">
        <v>1.5</v>
      </c>
      <c r="AI27" s="96">
        <v>1</v>
      </c>
      <c r="AJ27" s="117">
        <v>0.5</v>
      </c>
      <c r="AK27" s="117"/>
      <c r="AL27" s="117"/>
      <c r="AM27" s="123">
        <v>1</v>
      </c>
      <c r="AN27" s="117">
        <v>0.5</v>
      </c>
      <c r="AO27" s="117"/>
      <c r="AP27" s="117"/>
      <c r="AQ27" s="117"/>
      <c r="AR27" s="117"/>
      <c r="AS27" s="124"/>
      <c r="AT27" s="117"/>
      <c r="AU27" s="117"/>
      <c r="AV27" s="125"/>
      <c r="AW27" s="126">
        <f t="shared" si="6"/>
        <v>9</v>
      </c>
      <c r="AX27" s="40"/>
      <c r="AY27" s="187"/>
      <c r="AZ27" s="188">
        <f t="shared" si="17"/>
        <v>16</v>
      </c>
      <c r="BA27" s="189"/>
      <c r="BB27" s="188">
        <f t="shared" si="18"/>
        <v>12.25</v>
      </c>
      <c r="BC27" s="187"/>
      <c r="BD27" s="112">
        <f t="shared" si="19"/>
        <v>6</v>
      </c>
      <c r="BE27" s="189"/>
      <c r="BF27" s="112">
        <f t="shared" si="20"/>
        <v>4.5</v>
      </c>
      <c r="BG27" s="99"/>
      <c r="BH27" s="66"/>
      <c r="BI27" s="112">
        <f t="shared" si="0"/>
        <v>38.75</v>
      </c>
      <c r="BJ27" s="112">
        <f t="shared" si="7"/>
        <v>16</v>
      </c>
      <c r="BK27" s="112">
        <f t="shared" si="8"/>
        <v>41.29032258064516</v>
      </c>
      <c r="BL27" s="112">
        <f>IF(ROUNDUP(BK27,0)&gt;='Front page'!$D$32,1,0)</f>
        <v>0</v>
      </c>
      <c r="BM27" s="112">
        <f t="shared" si="1"/>
        <v>27.5</v>
      </c>
      <c r="BN27" s="112">
        <f t="shared" si="9"/>
        <v>12.25</v>
      </c>
      <c r="BO27" s="112">
        <f t="shared" si="10"/>
        <v>44.545454545454547</v>
      </c>
      <c r="BP27" s="112">
        <f>IF(ROUNDUP(BO27,0)&gt;='Front page'!$D$32,1,0)</f>
        <v>0</v>
      </c>
      <c r="BQ27" s="112">
        <f t="shared" si="2"/>
        <v>20</v>
      </c>
      <c r="BR27" s="112">
        <f t="shared" si="11"/>
        <v>6</v>
      </c>
      <c r="BS27" s="112">
        <f t="shared" si="12"/>
        <v>30</v>
      </c>
      <c r="BT27" s="112">
        <f>IF(ROUNDUP(BS27,0)&gt;='Front page'!$D$32,1,0)</f>
        <v>0</v>
      </c>
      <c r="BU27" s="112">
        <f t="shared" si="3"/>
        <v>13.75</v>
      </c>
      <c r="BV27" s="112">
        <f t="shared" si="13"/>
        <v>4.5</v>
      </c>
      <c r="BW27" s="112">
        <f t="shared" si="14"/>
        <v>32.727272727272727</v>
      </c>
      <c r="BX27" s="112">
        <f>IF(ROUNDUP(BW27,0)&gt;='Front page'!$D$32,1,0)</f>
        <v>0</v>
      </c>
      <c r="BY27" s="112" t="e">
        <f t="shared" si="4"/>
        <v>#REF!</v>
      </c>
      <c r="BZ27" s="112" t="e">
        <f t="shared" si="15"/>
        <v>#REF!</v>
      </c>
      <c r="CA27" s="112" t="e">
        <f t="shared" si="16"/>
        <v>#REF!</v>
      </c>
      <c r="CB27" s="112" t="e">
        <f>IF(ROUNDUP(CA27,0)&gt;='Front page'!$D$32,1,0)</f>
        <v>#REF!</v>
      </c>
    </row>
    <row r="28" spans="1:80" ht="14.25" customHeight="1">
      <c r="A28" s="93">
        <v>21</v>
      </c>
      <c r="B28" s="94"/>
      <c r="C28" s="94"/>
      <c r="D28" s="77">
        <v>4</v>
      </c>
      <c r="E28" s="77">
        <v>0</v>
      </c>
      <c r="F28" s="77">
        <v>5</v>
      </c>
      <c r="G28" s="77">
        <v>0</v>
      </c>
      <c r="H28" s="77">
        <v>4</v>
      </c>
      <c r="I28" s="77">
        <v>3</v>
      </c>
      <c r="J28" s="77">
        <v>1</v>
      </c>
      <c r="K28" s="95">
        <v>4</v>
      </c>
      <c r="L28" s="95">
        <v>4</v>
      </c>
      <c r="M28" s="95"/>
      <c r="N28" s="95"/>
      <c r="O28" s="82"/>
      <c r="P28" s="77">
        <v>1</v>
      </c>
      <c r="Q28" s="96"/>
      <c r="R28" s="96"/>
      <c r="S28" s="77"/>
      <c r="T28" s="77">
        <v>5</v>
      </c>
      <c r="U28" s="77"/>
      <c r="V28" s="83">
        <f t="shared" si="5"/>
        <v>27</v>
      </c>
      <c r="W28" s="183"/>
      <c r="X28" s="122">
        <v>0</v>
      </c>
      <c r="Y28" s="96">
        <v>5</v>
      </c>
      <c r="Z28" s="117">
        <v>1</v>
      </c>
      <c r="AA28" s="117"/>
      <c r="AB28" s="117"/>
      <c r="AC28" s="96">
        <v>5</v>
      </c>
      <c r="AD28" s="123">
        <v>2.5</v>
      </c>
      <c r="AE28" s="96"/>
      <c r="AF28" s="123"/>
      <c r="AG28" s="123"/>
      <c r="AH28" s="96">
        <v>3</v>
      </c>
      <c r="AI28" s="96">
        <v>5</v>
      </c>
      <c r="AJ28" s="117">
        <v>1</v>
      </c>
      <c r="AK28" s="117"/>
      <c r="AL28" s="117"/>
      <c r="AM28" s="123">
        <v>0</v>
      </c>
      <c r="AN28" s="117">
        <v>2.5</v>
      </c>
      <c r="AO28" s="117"/>
      <c r="AP28" s="117"/>
      <c r="AQ28" s="117"/>
      <c r="AR28" s="117"/>
      <c r="AS28" s="124"/>
      <c r="AT28" s="117"/>
      <c r="AU28" s="117"/>
      <c r="AV28" s="125"/>
      <c r="AW28" s="126">
        <f t="shared" si="6"/>
        <v>25</v>
      </c>
      <c r="AX28" s="40"/>
      <c r="AY28" s="187"/>
      <c r="AZ28" s="188">
        <f t="shared" si="17"/>
        <v>18</v>
      </c>
      <c r="BA28" s="189"/>
      <c r="BB28" s="188">
        <f t="shared" si="18"/>
        <v>17.5</v>
      </c>
      <c r="BC28" s="187"/>
      <c r="BD28" s="112">
        <f t="shared" si="19"/>
        <v>10</v>
      </c>
      <c r="BE28" s="189"/>
      <c r="BF28" s="112">
        <f t="shared" si="20"/>
        <v>6.25</v>
      </c>
      <c r="BG28" s="99"/>
      <c r="BH28" s="66"/>
      <c r="BI28" s="112">
        <f t="shared" si="0"/>
        <v>38.75</v>
      </c>
      <c r="BJ28" s="112">
        <f t="shared" si="7"/>
        <v>18</v>
      </c>
      <c r="BK28" s="112">
        <f t="shared" si="8"/>
        <v>46.451612903225808</v>
      </c>
      <c r="BL28" s="112">
        <f>IF(ROUNDUP(BK28,0)&gt;='Front page'!$D$32,1,0)</f>
        <v>0</v>
      </c>
      <c r="BM28" s="112">
        <f t="shared" si="1"/>
        <v>27.5</v>
      </c>
      <c r="BN28" s="112">
        <f t="shared" si="9"/>
        <v>17.5</v>
      </c>
      <c r="BO28" s="112">
        <f t="shared" si="10"/>
        <v>63.636363636363633</v>
      </c>
      <c r="BP28" s="112">
        <f>IF(ROUNDUP(BO28,0)&gt;='Front page'!$D$32,1,0)</f>
        <v>1</v>
      </c>
      <c r="BQ28" s="112">
        <f t="shared" si="2"/>
        <v>20</v>
      </c>
      <c r="BR28" s="112">
        <f t="shared" si="11"/>
        <v>10</v>
      </c>
      <c r="BS28" s="112">
        <f t="shared" si="12"/>
        <v>50</v>
      </c>
      <c r="BT28" s="112">
        <f>IF(ROUNDUP(BS28,0)&gt;='Front page'!$D$32,1,0)</f>
        <v>1</v>
      </c>
      <c r="BU28" s="112">
        <f t="shared" si="3"/>
        <v>13.75</v>
      </c>
      <c r="BV28" s="112">
        <f t="shared" si="13"/>
        <v>6.25</v>
      </c>
      <c r="BW28" s="112">
        <f t="shared" si="14"/>
        <v>45.454545454545453</v>
      </c>
      <c r="BX28" s="112">
        <f>IF(ROUNDUP(BW28,0)&gt;='Front page'!$D$32,1,0)</f>
        <v>0</v>
      </c>
      <c r="BY28" s="112" t="e">
        <f t="shared" si="4"/>
        <v>#REF!</v>
      </c>
      <c r="BZ28" s="112" t="e">
        <f t="shared" si="15"/>
        <v>#REF!</v>
      </c>
      <c r="CA28" s="112" t="e">
        <f t="shared" si="16"/>
        <v>#REF!</v>
      </c>
      <c r="CB28" s="112" t="e">
        <f>IF(ROUNDUP(CA28,0)&gt;='Front page'!$D$32,1,0)</f>
        <v>#REF!</v>
      </c>
    </row>
    <row r="29" spans="1:80" ht="14.25" customHeight="1">
      <c r="A29" s="93">
        <v>22</v>
      </c>
      <c r="B29" s="94"/>
      <c r="C29" s="94"/>
      <c r="D29" s="77">
        <v>5</v>
      </c>
      <c r="E29" s="77">
        <v>1</v>
      </c>
      <c r="F29" s="77">
        <v>3</v>
      </c>
      <c r="G29" s="77">
        <v>0</v>
      </c>
      <c r="H29" s="77">
        <v>5</v>
      </c>
      <c r="I29" s="77">
        <v>2</v>
      </c>
      <c r="J29" s="77">
        <v>2.5</v>
      </c>
      <c r="K29" s="95">
        <v>5</v>
      </c>
      <c r="L29" s="95">
        <v>5</v>
      </c>
      <c r="M29" s="95"/>
      <c r="N29" s="95"/>
      <c r="O29" s="82"/>
      <c r="P29" s="77">
        <v>2.5</v>
      </c>
      <c r="Q29" s="96"/>
      <c r="R29" s="96"/>
      <c r="S29" s="77"/>
      <c r="T29" s="77">
        <v>5</v>
      </c>
      <c r="U29" s="77"/>
      <c r="V29" s="83">
        <f t="shared" si="5"/>
        <v>31</v>
      </c>
      <c r="W29" s="183"/>
      <c r="X29" s="122">
        <v>1.5</v>
      </c>
      <c r="Y29" s="96">
        <v>1.5</v>
      </c>
      <c r="Z29" s="117">
        <v>0</v>
      </c>
      <c r="AA29" s="117"/>
      <c r="AB29" s="117"/>
      <c r="AC29" s="96">
        <v>5</v>
      </c>
      <c r="AD29" s="123">
        <v>3</v>
      </c>
      <c r="AE29" s="96"/>
      <c r="AF29" s="123"/>
      <c r="AG29" s="123"/>
      <c r="AH29" s="96">
        <v>3.5</v>
      </c>
      <c r="AI29" s="96">
        <v>4</v>
      </c>
      <c r="AJ29" s="117">
        <v>3</v>
      </c>
      <c r="AK29" s="117"/>
      <c r="AL29" s="117"/>
      <c r="AM29" s="123">
        <v>2.5</v>
      </c>
      <c r="AN29" s="117">
        <v>0</v>
      </c>
      <c r="AO29" s="117"/>
      <c r="AP29" s="117"/>
      <c r="AQ29" s="117"/>
      <c r="AR29" s="117"/>
      <c r="AS29" s="124"/>
      <c r="AT29" s="117"/>
      <c r="AU29" s="117"/>
      <c r="AV29" s="125"/>
      <c r="AW29" s="126">
        <f t="shared" si="6"/>
        <v>24</v>
      </c>
      <c r="AX29" s="40"/>
      <c r="AY29" s="187"/>
      <c r="AZ29" s="188">
        <f t="shared" si="17"/>
        <v>15.75</v>
      </c>
      <c r="BA29" s="189"/>
      <c r="BB29" s="188">
        <f t="shared" si="18"/>
        <v>20</v>
      </c>
      <c r="BC29" s="187"/>
      <c r="BD29" s="112">
        <f t="shared" si="19"/>
        <v>13</v>
      </c>
      <c r="BE29" s="189"/>
      <c r="BF29" s="112">
        <f t="shared" si="20"/>
        <v>6.25</v>
      </c>
      <c r="BG29" s="99"/>
      <c r="BH29" s="66"/>
      <c r="BI29" s="112">
        <f t="shared" si="0"/>
        <v>38.75</v>
      </c>
      <c r="BJ29" s="112">
        <f t="shared" si="7"/>
        <v>15.75</v>
      </c>
      <c r="BK29" s="112">
        <f t="shared" si="8"/>
        <v>40.645161290322577</v>
      </c>
      <c r="BL29" s="112">
        <f>IF(ROUNDUP(BK29,0)&gt;='Front page'!$D$32,1,0)</f>
        <v>0</v>
      </c>
      <c r="BM29" s="112">
        <f t="shared" si="1"/>
        <v>27.5</v>
      </c>
      <c r="BN29" s="112">
        <f t="shared" si="9"/>
        <v>20</v>
      </c>
      <c r="BO29" s="112">
        <f t="shared" si="10"/>
        <v>72.727272727272734</v>
      </c>
      <c r="BP29" s="112">
        <f>IF(ROUNDUP(BO29,0)&gt;='Front page'!$D$32,1,0)</f>
        <v>1</v>
      </c>
      <c r="BQ29" s="112">
        <f t="shared" si="2"/>
        <v>20</v>
      </c>
      <c r="BR29" s="112">
        <f t="shared" si="11"/>
        <v>13</v>
      </c>
      <c r="BS29" s="112">
        <f t="shared" si="12"/>
        <v>65</v>
      </c>
      <c r="BT29" s="112">
        <f>IF(ROUNDUP(BS29,0)&gt;='Front page'!$D$32,1,0)</f>
        <v>1</v>
      </c>
      <c r="BU29" s="112">
        <f t="shared" si="3"/>
        <v>13.75</v>
      </c>
      <c r="BV29" s="112">
        <f t="shared" si="13"/>
        <v>6.25</v>
      </c>
      <c r="BW29" s="112">
        <f t="shared" si="14"/>
        <v>45.454545454545453</v>
      </c>
      <c r="BX29" s="112">
        <f>IF(ROUNDUP(BW29,0)&gt;='Front page'!$D$32,1,0)</f>
        <v>0</v>
      </c>
      <c r="BY29" s="112" t="e">
        <f t="shared" si="4"/>
        <v>#REF!</v>
      </c>
      <c r="BZ29" s="112" t="e">
        <f t="shared" si="15"/>
        <v>#REF!</v>
      </c>
      <c r="CA29" s="112" t="e">
        <f t="shared" si="16"/>
        <v>#REF!</v>
      </c>
      <c r="CB29" s="112" t="e">
        <f>IF(ROUNDUP(CA29,0)&gt;='Front page'!$D$32,1,0)</f>
        <v>#REF!</v>
      </c>
    </row>
    <row r="30" spans="1:80" ht="14.25" customHeight="1">
      <c r="A30" s="93">
        <v>23</v>
      </c>
      <c r="B30" s="94"/>
      <c r="C30" s="94"/>
      <c r="D30" s="77">
        <v>3.5</v>
      </c>
      <c r="E30" s="77">
        <v>0.5</v>
      </c>
      <c r="F30" s="77">
        <v>0</v>
      </c>
      <c r="G30" s="77">
        <v>1</v>
      </c>
      <c r="H30" s="77">
        <v>4</v>
      </c>
      <c r="I30" s="77">
        <v>1.5</v>
      </c>
      <c r="J30" s="77">
        <v>2.5</v>
      </c>
      <c r="K30" s="95">
        <v>5</v>
      </c>
      <c r="L30" s="95">
        <v>5</v>
      </c>
      <c r="M30" s="95"/>
      <c r="N30" s="95"/>
      <c r="O30" s="82"/>
      <c r="P30" s="77">
        <v>5</v>
      </c>
      <c r="Q30" s="96"/>
      <c r="R30" s="96"/>
      <c r="S30" s="77"/>
      <c r="T30" s="77">
        <v>4</v>
      </c>
      <c r="U30" s="77"/>
      <c r="V30" s="83">
        <f t="shared" si="5"/>
        <v>28</v>
      </c>
      <c r="W30" s="183"/>
      <c r="X30" s="122">
        <v>2</v>
      </c>
      <c r="Y30" s="96">
        <v>1.5</v>
      </c>
      <c r="Z30" s="117">
        <v>4</v>
      </c>
      <c r="AA30" s="117"/>
      <c r="AB30" s="117"/>
      <c r="AC30" s="96">
        <v>5</v>
      </c>
      <c r="AD30" s="123">
        <v>2</v>
      </c>
      <c r="AE30" s="96"/>
      <c r="AF30" s="123"/>
      <c r="AG30" s="123"/>
      <c r="AH30" s="96">
        <v>2.5</v>
      </c>
      <c r="AI30" s="96">
        <v>2</v>
      </c>
      <c r="AJ30" s="117">
        <v>1</v>
      </c>
      <c r="AK30" s="117"/>
      <c r="AL30" s="117"/>
      <c r="AM30" s="123">
        <v>5</v>
      </c>
      <c r="AN30" s="117">
        <v>2</v>
      </c>
      <c r="AO30" s="117"/>
      <c r="AP30" s="117"/>
      <c r="AQ30" s="117"/>
      <c r="AR30" s="117"/>
      <c r="AS30" s="124"/>
      <c r="AT30" s="117"/>
      <c r="AU30" s="117"/>
      <c r="AV30" s="125"/>
      <c r="AW30" s="126">
        <f t="shared" si="6"/>
        <v>27</v>
      </c>
      <c r="AX30" s="40"/>
      <c r="AY30" s="187"/>
      <c r="AZ30" s="188">
        <f t="shared" si="17"/>
        <v>15.5</v>
      </c>
      <c r="BA30" s="189"/>
      <c r="BB30" s="188">
        <f t="shared" si="18"/>
        <v>18.5</v>
      </c>
      <c r="BC30" s="187"/>
      <c r="BD30" s="112">
        <f t="shared" si="19"/>
        <v>10.5</v>
      </c>
      <c r="BE30" s="189"/>
      <c r="BF30" s="112">
        <f t="shared" si="20"/>
        <v>10</v>
      </c>
      <c r="BG30" s="99"/>
      <c r="BH30" s="66"/>
      <c r="BI30" s="112">
        <f t="shared" si="0"/>
        <v>38.75</v>
      </c>
      <c r="BJ30" s="112">
        <f t="shared" si="7"/>
        <v>15.5</v>
      </c>
      <c r="BK30" s="112">
        <f t="shared" si="8"/>
        <v>40</v>
      </c>
      <c r="BL30" s="112">
        <f>IF(ROUNDUP(BK30,0)&gt;='Front page'!$D$32,1,0)</f>
        <v>0</v>
      </c>
      <c r="BM30" s="112">
        <f t="shared" si="1"/>
        <v>27.5</v>
      </c>
      <c r="BN30" s="112">
        <f t="shared" si="9"/>
        <v>18.5</v>
      </c>
      <c r="BO30" s="112">
        <f t="shared" si="10"/>
        <v>67.272727272727266</v>
      </c>
      <c r="BP30" s="112">
        <f>IF(ROUNDUP(BO30,0)&gt;='Front page'!$D$32,1,0)</f>
        <v>1</v>
      </c>
      <c r="BQ30" s="112">
        <f t="shared" si="2"/>
        <v>20</v>
      </c>
      <c r="BR30" s="112">
        <f t="shared" si="11"/>
        <v>10.5</v>
      </c>
      <c r="BS30" s="112">
        <f t="shared" si="12"/>
        <v>52.5</v>
      </c>
      <c r="BT30" s="112">
        <f>IF(ROUNDUP(BS30,0)&gt;='Front page'!$D$32,1,0)</f>
        <v>1</v>
      </c>
      <c r="BU30" s="112">
        <f t="shared" si="3"/>
        <v>13.75</v>
      </c>
      <c r="BV30" s="112">
        <f t="shared" si="13"/>
        <v>10</v>
      </c>
      <c r="BW30" s="112">
        <f t="shared" si="14"/>
        <v>72.727272727272734</v>
      </c>
      <c r="BX30" s="112">
        <f>IF(ROUNDUP(BW30,0)&gt;='Front page'!$D$32,1,0)</f>
        <v>1</v>
      </c>
      <c r="BY30" s="112" t="e">
        <f t="shared" si="4"/>
        <v>#REF!</v>
      </c>
      <c r="BZ30" s="112" t="e">
        <f t="shared" si="15"/>
        <v>#REF!</v>
      </c>
      <c r="CA30" s="112" t="e">
        <f t="shared" si="16"/>
        <v>#REF!</v>
      </c>
      <c r="CB30" s="112" t="e">
        <f>IF(ROUNDUP(CA30,0)&gt;='Front page'!$D$32,1,0)</f>
        <v>#REF!</v>
      </c>
    </row>
    <row r="31" spans="1:80" ht="14.25" customHeight="1">
      <c r="A31" s="93">
        <v>24</v>
      </c>
      <c r="B31" s="94"/>
      <c r="C31" s="94"/>
      <c r="D31" s="77">
        <v>4</v>
      </c>
      <c r="E31" s="77">
        <v>0.5</v>
      </c>
      <c r="F31" s="77">
        <v>5</v>
      </c>
      <c r="G31" s="77">
        <v>1.5</v>
      </c>
      <c r="H31" s="77">
        <v>4</v>
      </c>
      <c r="I31" s="77">
        <v>1.5</v>
      </c>
      <c r="J31" s="77">
        <v>2.5</v>
      </c>
      <c r="K31" s="95">
        <v>5</v>
      </c>
      <c r="L31" s="95">
        <v>5</v>
      </c>
      <c r="M31" s="95"/>
      <c r="N31" s="95"/>
      <c r="O31" s="82"/>
      <c r="P31" s="77">
        <v>5</v>
      </c>
      <c r="Q31" s="96"/>
      <c r="R31" s="96"/>
      <c r="S31" s="77"/>
      <c r="T31" s="77">
        <v>4</v>
      </c>
      <c r="U31" s="77"/>
      <c r="V31" s="83">
        <f t="shared" si="5"/>
        <v>34</v>
      </c>
      <c r="W31" s="183"/>
      <c r="X31" s="122">
        <v>3</v>
      </c>
      <c r="Y31" s="96">
        <v>5</v>
      </c>
      <c r="Z31" s="117">
        <v>0</v>
      </c>
      <c r="AA31" s="117"/>
      <c r="AB31" s="117"/>
      <c r="AC31" s="96">
        <v>2.5</v>
      </c>
      <c r="AD31" s="123">
        <v>2</v>
      </c>
      <c r="AE31" s="96"/>
      <c r="AF31" s="123"/>
      <c r="AG31" s="123"/>
      <c r="AH31" s="96">
        <v>2.5</v>
      </c>
      <c r="AI31" s="96">
        <v>3.5</v>
      </c>
      <c r="AJ31" s="117">
        <v>0</v>
      </c>
      <c r="AK31" s="117"/>
      <c r="AL31" s="117"/>
      <c r="AM31" s="123">
        <v>4</v>
      </c>
      <c r="AN31" s="117">
        <v>1.5</v>
      </c>
      <c r="AO31" s="117"/>
      <c r="AP31" s="117"/>
      <c r="AQ31" s="117"/>
      <c r="AR31" s="117"/>
      <c r="AS31" s="124"/>
      <c r="AT31" s="117"/>
      <c r="AU31" s="117"/>
      <c r="AV31" s="125"/>
      <c r="AW31" s="126">
        <f t="shared" si="6"/>
        <v>24</v>
      </c>
      <c r="AX31" s="40"/>
      <c r="AY31" s="187"/>
      <c r="AZ31" s="188">
        <f t="shared" si="17"/>
        <v>22</v>
      </c>
      <c r="BA31" s="189"/>
      <c r="BB31" s="188">
        <f t="shared" si="18"/>
        <v>16</v>
      </c>
      <c r="BC31" s="187"/>
      <c r="BD31" s="112">
        <f t="shared" si="19"/>
        <v>11</v>
      </c>
      <c r="BE31" s="189"/>
      <c r="BF31" s="112">
        <f t="shared" si="20"/>
        <v>8.5</v>
      </c>
      <c r="BG31" s="99"/>
      <c r="BH31" s="66"/>
      <c r="BI31" s="112">
        <f t="shared" si="0"/>
        <v>38.75</v>
      </c>
      <c r="BJ31" s="112">
        <f t="shared" si="7"/>
        <v>22</v>
      </c>
      <c r="BK31" s="112">
        <f t="shared" si="8"/>
        <v>56.774193548387096</v>
      </c>
      <c r="BL31" s="112">
        <f>IF(ROUNDUP(BK31,0)&gt;='Front page'!$D$32,1,0)</f>
        <v>1</v>
      </c>
      <c r="BM31" s="112">
        <f t="shared" si="1"/>
        <v>27.5</v>
      </c>
      <c r="BN31" s="112">
        <f t="shared" si="9"/>
        <v>16</v>
      </c>
      <c r="BO31" s="112">
        <f t="shared" si="10"/>
        <v>58.18181818181818</v>
      </c>
      <c r="BP31" s="112">
        <f>IF(ROUNDUP(BO31,0)&gt;='Front page'!$D$32,1,0)</f>
        <v>1</v>
      </c>
      <c r="BQ31" s="112">
        <f t="shared" si="2"/>
        <v>20</v>
      </c>
      <c r="BR31" s="112">
        <f t="shared" si="11"/>
        <v>11</v>
      </c>
      <c r="BS31" s="112">
        <f t="shared" si="12"/>
        <v>55.000000000000007</v>
      </c>
      <c r="BT31" s="112">
        <f>IF(ROUNDUP(BS31,0)&gt;='Front page'!$D$32,1,0)</f>
        <v>1</v>
      </c>
      <c r="BU31" s="112">
        <f t="shared" si="3"/>
        <v>13.75</v>
      </c>
      <c r="BV31" s="112">
        <f t="shared" si="13"/>
        <v>8.5</v>
      </c>
      <c r="BW31" s="112">
        <f t="shared" si="14"/>
        <v>61.818181818181813</v>
      </c>
      <c r="BX31" s="112">
        <f>IF(ROUNDUP(BW31,0)&gt;='Front page'!$D$32,1,0)</f>
        <v>1</v>
      </c>
      <c r="BY31" s="112" t="e">
        <f t="shared" si="4"/>
        <v>#REF!</v>
      </c>
      <c r="BZ31" s="112" t="e">
        <f t="shared" si="15"/>
        <v>#REF!</v>
      </c>
      <c r="CA31" s="112" t="e">
        <f t="shared" si="16"/>
        <v>#REF!</v>
      </c>
      <c r="CB31" s="112" t="e">
        <f>IF(ROUNDUP(CA31,0)&gt;='Front page'!$D$32,1,0)</f>
        <v>#REF!</v>
      </c>
    </row>
    <row r="32" spans="1:80" ht="14.25" customHeight="1">
      <c r="A32" s="93">
        <v>25</v>
      </c>
      <c r="B32" s="82"/>
      <c r="C32" s="82"/>
      <c r="D32" s="100">
        <v>5</v>
      </c>
      <c r="E32" s="82">
        <v>2.5</v>
      </c>
      <c r="F32" s="77">
        <v>5</v>
      </c>
      <c r="G32" s="77">
        <v>1.5</v>
      </c>
      <c r="H32" s="101">
        <v>4</v>
      </c>
      <c r="I32" s="96">
        <v>1</v>
      </c>
      <c r="J32" s="95">
        <v>0</v>
      </c>
      <c r="K32" s="102">
        <v>5</v>
      </c>
      <c r="L32" s="102">
        <v>4</v>
      </c>
      <c r="M32" s="102"/>
      <c r="N32" s="102"/>
      <c r="O32" s="103"/>
      <c r="P32" s="104">
        <v>2</v>
      </c>
      <c r="Q32" s="96"/>
      <c r="R32" s="96"/>
      <c r="S32" s="77"/>
      <c r="T32" s="95">
        <v>5</v>
      </c>
      <c r="U32" s="77"/>
      <c r="V32" s="83">
        <f t="shared" si="5"/>
        <v>31</v>
      </c>
      <c r="W32" s="183"/>
      <c r="X32" s="122">
        <v>3</v>
      </c>
      <c r="Y32" s="96">
        <v>5</v>
      </c>
      <c r="Z32" s="117">
        <v>0</v>
      </c>
      <c r="AA32" s="117"/>
      <c r="AB32" s="117"/>
      <c r="AC32" s="96">
        <v>1</v>
      </c>
      <c r="AD32" s="123">
        <v>0</v>
      </c>
      <c r="AE32" s="96"/>
      <c r="AF32" s="123"/>
      <c r="AG32" s="123"/>
      <c r="AH32" s="96">
        <v>3</v>
      </c>
      <c r="AI32" s="96">
        <v>4</v>
      </c>
      <c r="AJ32" s="117">
        <v>2.5</v>
      </c>
      <c r="AK32" s="117"/>
      <c r="AL32" s="117"/>
      <c r="AM32" s="123">
        <v>5</v>
      </c>
      <c r="AN32" s="117">
        <v>2.5</v>
      </c>
      <c r="AO32" s="117"/>
      <c r="AP32" s="117"/>
      <c r="AQ32" s="117"/>
      <c r="AR32" s="117"/>
      <c r="AS32" s="124"/>
      <c r="AT32" s="117"/>
      <c r="AU32" s="117"/>
      <c r="AV32" s="125"/>
      <c r="AW32" s="126">
        <f t="shared" si="6"/>
        <v>26</v>
      </c>
      <c r="AX32" s="40"/>
      <c r="AY32" s="187"/>
      <c r="AZ32" s="188">
        <f t="shared" si="17"/>
        <v>25</v>
      </c>
      <c r="BA32" s="189"/>
      <c r="BB32" s="188">
        <f t="shared" si="18"/>
        <v>8.75</v>
      </c>
      <c r="BC32" s="187"/>
      <c r="BD32" s="112">
        <f t="shared" si="19"/>
        <v>11.5</v>
      </c>
      <c r="BE32" s="189"/>
      <c r="BF32" s="112">
        <f t="shared" si="20"/>
        <v>11.25</v>
      </c>
      <c r="BG32" s="99"/>
      <c r="BH32" s="66"/>
      <c r="BI32" s="112">
        <f t="shared" si="0"/>
        <v>38.75</v>
      </c>
      <c r="BJ32" s="112">
        <f t="shared" si="7"/>
        <v>25</v>
      </c>
      <c r="BK32" s="112">
        <f t="shared" si="8"/>
        <v>64.516129032258064</v>
      </c>
      <c r="BL32" s="112">
        <f>IF(ROUNDUP(BK32,0)&gt;='Front page'!$D$32,1,0)</f>
        <v>1</v>
      </c>
      <c r="BM32" s="112">
        <f t="shared" si="1"/>
        <v>27.5</v>
      </c>
      <c r="BN32" s="112">
        <f t="shared" si="9"/>
        <v>8.75</v>
      </c>
      <c r="BO32" s="112">
        <f t="shared" si="10"/>
        <v>31.818181818181817</v>
      </c>
      <c r="BP32" s="112">
        <f>IF(ROUNDUP(BO32,0)&gt;='Front page'!$D$32,1,0)</f>
        <v>0</v>
      </c>
      <c r="BQ32" s="112">
        <f t="shared" si="2"/>
        <v>20</v>
      </c>
      <c r="BR32" s="112">
        <f t="shared" si="11"/>
        <v>11.5</v>
      </c>
      <c r="BS32" s="112">
        <f t="shared" si="12"/>
        <v>57.499999999999993</v>
      </c>
      <c r="BT32" s="112">
        <f>IF(ROUNDUP(BS32,0)&gt;='Front page'!$D$32,1,0)</f>
        <v>1</v>
      </c>
      <c r="BU32" s="112">
        <f t="shared" si="3"/>
        <v>13.75</v>
      </c>
      <c r="BV32" s="112">
        <f t="shared" si="13"/>
        <v>11.25</v>
      </c>
      <c r="BW32" s="112">
        <f t="shared" si="14"/>
        <v>81.818181818181827</v>
      </c>
      <c r="BX32" s="112">
        <f>IF(ROUNDUP(BW32,0)&gt;='Front page'!$D$32,1,0)</f>
        <v>1</v>
      </c>
      <c r="BY32" s="112" t="e">
        <f t="shared" si="4"/>
        <v>#REF!</v>
      </c>
      <c r="BZ32" s="112" t="e">
        <f t="shared" si="15"/>
        <v>#REF!</v>
      </c>
      <c r="CA32" s="112" t="e">
        <f t="shared" si="16"/>
        <v>#REF!</v>
      </c>
      <c r="CB32" s="112" t="e">
        <f>IF(ROUNDUP(CA32,0)&gt;='Front page'!$D$32,1,0)</f>
        <v>#REF!</v>
      </c>
    </row>
    <row r="33" spans="1:80" ht="14.25" customHeight="1">
      <c r="A33" s="93">
        <v>26</v>
      </c>
      <c r="B33" s="82"/>
      <c r="C33" s="82"/>
      <c r="D33" s="100">
        <v>5</v>
      </c>
      <c r="E33" s="82">
        <v>2</v>
      </c>
      <c r="F33" s="77">
        <v>4</v>
      </c>
      <c r="G33" s="77">
        <v>1</v>
      </c>
      <c r="H33" s="101">
        <v>4</v>
      </c>
      <c r="I33" s="96">
        <v>3.5</v>
      </c>
      <c r="J33" s="95">
        <v>2.5</v>
      </c>
      <c r="K33" s="95">
        <v>4</v>
      </c>
      <c r="L33" s="95">
        <v>5</v>
      </c>
      <c r="M33" s="95"/>
      <c r="N33" s="95"/>
      <c r="O33" s="82"/>
      <c r="P33" s="105">
        <v>4</v>
      </c>
      <c r="Q33" s="96"/>
      <c r="R33" s="96"/>
      <c r="S33" s="77"/>
      <c r="T33" s="95">
        <v>4</v>
      </c>
      <c r="U33" s="77"/>
      <c r="V33" s="83">
        <f t="shared" si="5"/>
        <v>35</v>
      </c>
      <c r="W33" s="183"/>
      <c r="X33" s="122">
        <v>3.5</v>
      </c>
      <c r="Y33" s="96">
        <v>5</v>
      </c>
      <c r="Z33" s="117">
        <v>1.5</v>
      </c>
      <c r="AA33" s="117"/>
      <c r="AB33" s="117"/>
      <c r="AC33" s="96">
        <v>2.5</v>
      </c>
      <c r="AD33" s="123">
        <v>3.5</v>
      </c>
      <c r="AE33" s="96"/>
      <c r="AF33" s="123"/>
      <c r="AG33" s="123"/>
      <c r="AH33" s="96">
        <v>3</v>
      </c>
      <c r="AI33" s="96">
        <v>3.5</v>
      </c>
      <c r="AJ33" s="117">
        <v>4</v>
      </c>
      <c r="AK33" s="117"/>
      <c r="AL33" s="117"/>
      <c r="AM33" s="123">
        <v>2.5</v>
      </c>
      <c r="AN33" s="117">
        <v>2</v>
      </c>
      <c r="AO33" s="117"/>
      <c r="AP33" s="117"/>
      <c r="AQ33" s="117"/>
      <c r="AR33" s="117"/>
      <c r="AS33" s="124"/>
      <c r="AT33" s="117"/>
      <c r="AU33" s="117"/>
      <c r="AV33" s="125"/>
      <c r="AW33" s="126">
        <f t="shared" si="6"/>
        <v>31</v>
      </c>
      <c r="AX33" s="40"/>
      <c r="AY33" s="187"/>
      <c r="AZ33" s="188">
        <f t="shared" si="17"/>
        <v>25</v>
      </c>
      <c r="BA33" s="189"/>
      <c r="BB33" s="188">
        <f t="shared" si="18"/>
        <v>18.75</v>
      </c>
      <c r="BC33" s="187"/>
      <c r="BD33" s="112">
        <f t="shared" si="19"/>
        <v>14.5</v>
      </c>
      <c r="BE33" s="189"/>
      <c r="BF33" s="112">
        <f t="shared" si="20"/>
        <v>7.5</v>
      </c>
      <c r="BG33" s="99"/>
      <c r="BH33" s="66"/>
      <c r="BI33" s="112">
        <f t="shared" si="0"/>
        <v>38.75</v>
      </c>
      <c r="BJ33" s="112">
        <f t="shared" si="7"/>
        <v>25</v>
      </c>
      <c r="BK33" s="112">
        <f t="shared" si="8"/>
        <v>64.516129032258064</v>
      </c>
      <c r="BL33" s="112">
        <f>IF(ROUNDUP(BK33,0)&gt;='Front page'!$D$32,1,0)</f>
        <v>1</v>
      </c>
      <c r="BM33" s="112">
        <f t="shared" si="1"/>
        <v>27.5</v>
      </c>
      <c r="BN33" s="112">
        <f t="shared" si="9"/>
        <v>18.75</v>
      </c>
      <c r="BO33" s="112">
        <f t="shared" si="10"/>
        <v>68.181818181818173</v>
      </c>
      <c r="BP33" s="112">
        <f>IF(ROUNDUP(BO33,0)&gt;='Front page'!$D$32,1,0)</f>
        <v>1</v>
      </c>
      <c r="BQ33" s="112">
        <f t="shared" si="2"/>
        <v>20</v>
      </c>
      <c r="BR33" s="112">
        <f t="shared" si="11"/>
        <v>14.5</v>
      </c>
      <c r="BS33" s="112">
        <f t="shared" si="12"/>
        <v>72.5</v>
      </c>
      <c r="BT33" s="112">
        <f>IF(ROUNDUP(BS33,0)&gt;='Front page'!$D$32,1,0)</f>
        <v>1</v>
      </c>
      <c r="BU33" s="112">
        <f t="shared" si="3"/>
        <v>13.75</v>
      </c>
      <c r="BV33" s="112">
        <f t="shared" si="13"/>
        <v>7.5</v>
      </c>
      <c r="BW33" s="112">
        <f t="shared" si="14"/>
        <v>54.54545454545454</v>
      </c>
      <c r="BX33" s="112">
        <f>IF(ROUNDUP(BW33,0)&gt;='Front page'!$D$32,1,0)</f>
        <v>1</v>
      </c>
      <c r="BY33" s="112" t="e">
        <f t="shared" si="4"/>
        <v>#REF!</v>
      </c>
      <c r="BZ33" s="112" t="e">
        <f t="shared" si="15"/>
        <v>#REF!</v>
      </c>
      <c r="CA33" s="112" t="e">
        <f t="shared" si="16"/>
        <v>#REF!</v>
      </c>
      <c r="CB33" s="112" t="e">
        <f>IF(ROUNDUP(CA33,0)&gt;='Front page'!$D$32,1,0)</f>
        <v>#REF!</v>
      </c>
    </row>
    <row r="34" spans="1:80" ht="14.25" customHeight="1">
      <c r="A34" s="93">
        <v>27</v>
      </c>
      <c r="B34" s="82"/>
      <c r="C34" s="82"/>
      <c r="D34" s="100">
        <v>2.5</v>
      </c>
      <c r="E34" s="82">
        <v>0</v>
      </c>
      <c r="F34" s="77">
        <v>0</v>
      </c>
      <c r="G34" s="77">
        <v>0</v>
      </c>
      <c r="H34" s="101">
        <v>5</v>
      </c>
      <c r="I34" s="96">
        <v>4</v>
      </c>
      <c r="J34" s="95">
        <v>2.5</v>
      </c>
      <c r="K34" s="95">
        <v>5</v>
      </c>
      <c r="L34" s="95">
        <v>4</v>
      </c>
      <c r="M34" s="95"/>
      <c r="N34" s="95"/>
      <c r="O34" s="82"/>
      <c r="P34" s="105">
        <v>2</v>
      </c>
      <c r="Q34" s="96"/>
      <c r="R34" s="96"/>
      <c r="S34" s="77"/>
      <c r="T34" s="95">
        <v>4</v>
      </c>
      <c r="U34" s="77"/>
      <c r="V34" s="83">
        <f t="shared" si="5"/>
        <v>25</v>
      </c>
      <c r="W34" s="183"/>
      <c r="X34" s="122">
        <v>1</v>
      </c>
      <c r="Y34" s="96">
        <v>1</v>
      </c>
      <c r="Z34" s="117">
        <v>0.5</v>
      </c>
      <c r="AA34" s="117"/>
      <c r="AB34" s="117"/>
      <c r="AC34" s="96">
        <v>1</v>
      </c>
      <c r="AD34" s="123">
        <v>3</v>
      </c>
      <c r="AE34" s="96"/>
      <c r="AF34" s="123"/>
      <c r="AG34" s="123"/>
      <c r="AH34" s="96">
        <v>3</v>
      </c>
      <c r="AI34" s="96">
        <v>2.5</v>
      </c>
      <c r="AJ34" s="117">
        <v>2.5</v>
      </c>
      <c r="AK34" s="117"/>
      <c r="AL34" s="117"/>
      <c r="AM34" s="123">
        <v>0</v>
      </c>
      <c r="AN34" s="117">
        <v>1.5</v>
      </c>
      <c r="AO34" s="117"/>
      <c r="AP34" s="117"/>
      <c r="AQ34" s="117"/>
      <c r="AR34" s="117"/>
      <c r="AS34" s="117"/>
      <c r="AT34" s="117"/>
      <c r="AU34" s="117"/>
      <c r="AV34" s="125"/>
      <c r="AW34" s="126">
        <f t="shared" si="6"/>
        <v>16</v>
      </c>
      <c r="AX34" s="40"/>
      <c r="AY34" s="187"/>
      <c r="AZ34" s="188">
        <f t="shared" si="17"/>
        <v>8.75</v>
      </c>
      <c r="BA34" s="189"/>
      <c r="BB34" s="188">
        <f t="shared" si="18"/>
        <v>17.25</v>
      </c>
      <c r="BC34" s="187"/>
      <c r="BD34" s="112">
        <f t="shared" si="19"/>
        <v>10</v>
      </c>
      <c r="BE34" s="189"/>
      <c r="BF34" s="112">
        <f t="shared" si="20"/>
        <v>4.5</v>
      </c>
      <c r="BG34" s="99"/>
      <c r="BH34" s="66"/>
      <c r="BI34" s="112">
        <f t="shared" si="0"/>
        <v>38.75</v>
      </c>
      <c r="BJ34" s="112">
        <f t="shared" si="7"/>
        <v>8.75</v>
      </c>
      <c r="BK34" s="112">
        <f t="shared" si="8"/>
        <v>22.58064516129032</v>
      </c>
      <c r="BL34" s="112">
        <f>IF(ROUNDUP(BK34,0)&gt;='Front page'!$D$32,1,0)</f>
        <v>0</v>
      </c>
      <c r="BM34" s="112">
        <f t="shared" si="1"/>
        <v>27.5</v>
      </c>
      <c r="BN34" s="112">
        <f t="shared" si="9"/>
        <v>17.25</v>
      </c>
      <c r="BO34" s="112">
        <f t="shared" si="10"/>
        <v>62.727272727272734</v>
      </c>
      <c r="BP34" s="112">
        <f>IF(ROUNDUP(BO34,0)&gt;='Front page'!$D$32,1,0)</f>
        <v>1</v>
      </c>
      <c r="BQ34" s="112">
        <f t="shared" si="2"/>
        <v>20</v>
      </c>
      <c r="BR34" s="112">
        <f t="shared" si="11"/>
        <v>10</v>
      </c>
      <c r="BS34" s="112">
        <f t="shared" si="12"/>
        <v>50</v>
      </c>
      <c r="BT34" s="112">
        <f>IF(ROUNDUP(BS34,0)&gt;='Front page'!$D$32,1,0)</f>
        <v>1</v>
      </c>
      <c r="BU34" s="112">
        <f t="shared" si="3"/>
        <v>13.75</v>
      </c>
      <c r="BV34" s="112">
        <f t="shared" si="13"/>
        <v>4.5</v>
      </c>
      <c r="BW34" s="112">
        <f t="shared" si="14"/>
        <v>32.727272727272727</v>
      </c>
      <c r="BX34" s="112">
        <f>IF(ROUNDUP(BW34,0)&gt;='Front page'!$D$32,1,0)</f>
        <v>0</v>
      </c>
      <c r="BY34" s="112" t="e">
        <f t="shared" si="4"/>
        <v>#REF!</v>
      </c>
      <c r="BZ34" s="112" t="e">
        <f t="shared" si="15"/>
        <v>#REF!</v>
      </c>
      <c r="CA34" s="112" t="e">
        <f t="shared" si="16"/>
        <v>#REF!</v>
      </c>
      <c r="CB34" s="112" t="e">
        <f>IF(ROUNDUP(CA34,0)&gt;='Front page'!$D$32,1,0)</f>
        <v>#REF!</v>
      </c>
    </row>
    <row r="35" spans="1:80" ht="14.25" hidden="1" customHeight="1">
      <c r="A35" s="93">
        <v>28</v>
      </c>
      <c r="B35" s="82"/>
      <c r="C35" s="82"/>
      <c r="D35" s="100"/>
      <c r="E35" s="82"/>
      <c r="F35" s="77"/>
      <c r="G35" s="77"/>
      <c r="H35" s="101"/>
      <c r="I35" s="96"/>
      <c r="J35" s="95"/>
      <c r="K35" s="95"/>
      <c r="L35" s="95"/>
      <c r="M35" s="95"/>
      <c r="N35" s="95"/>
      <c r="O35" s="82"/>
      <c r="P35" s="105"/>
      <c r="Q35" s="96"/>
      <c r="R35" s="96"/>
      <c r="S35" s="77"/>
      <c r="T35" s="95"/>
      <c r="U35" s="77"/>
      <c r="V35" s="97">
        <f t="shared" ref="V35:V221" si="21">SUM(D35:U35)</f>
        <v>0</v>
      </c>
      <c r="W35" s="182"/>
      <c r="X35" s="122"/>
      <c r="Y35" s="96"/>
      <c r="Z35" s="117"/>
      <c r="AA35" s="117"/>
      <c r="AB35" s="117"/>
      <c r="AC35" s="96"/>
      <c r="AD35" s="123"/>
      <c r="AE35" s="96"/>
      <c r="AF35" s="123"/>
      <c r="AG35" s="123"/>
      <c r="AH35" s="96"/>
      <c r="AI35" s="96"/>
      <c r="AJ35" s="117"/>
      <c r="AK35" s="117"/>
      <c r="AL35" s="117"/>
      <c r="AM35" s="123"/>
      <c r="AN35" s="117"/>
      <c r="AO35" s="117"/>
      <c r="AP35" s="117"/>
      <c r="AQ35" s="117"/>
      <c r="AR35" s="117"/>
      <c r="AS35" s="117"/>
      <c r="AT35" s="117"/>
      <c r="AU35" s="117"/>
      <c r="AV35" s="125"/>
      <c r="AW35" s="126"/>
      <c r="AX35" s="40"/>
      <c r="AY35" s="90"/>
      <c r="AZ35" s="97">
        <f t="shared" ref="AZ35:AZ66" si="22">SUM(D35:H35)</f>
        <v>0</v>
      </c>
      <c r="BA35" s="98"/>
      <c r="BB35" s="97">
        <f t="shared" ref="BB35:BB66" si="23">SUM(I35:O35)</f>
        <v>0</v>
      </c>
      <c r="BC35" s="90"/>
      <c r="BD35" s="89">
        <f t="shared" ref="BD35:BD71" si="24">SUM(P35:S35)</f>
        <v>0</v>
      </c>
      <c r="BE35" s="98"/>
      <c r="BF35" s="89">
        <f t="shared" ref="BF35:BF66" si="25">SUM(T35:U35)</f>
        <v>0</v>
      </c>
      <c r="BG35" s="99"/>
      <c r="BH35" s="66"/>
      <c r="BI35" s="89">
        <f t="shared" si="0"/>
        <v>38.75</v>
      </c>
      <c r="BJ35" s="89">
        <f t="shared" si="7"/>
        <v>0</v>
      </c>
      <c r="BK35" s="89">
        <f>(BJ35/BI33)*100</f>
        <v>0</v>
      </c>
      <c r="BL35" s="89">
        <f t="shared" ref="BL35:BL221" si="26">IF(BK35&gt;=$BL$4,1,0)</f>
        <v>0</v>
      </c>
      <c r="BM35" s="89">
        <f t="shared" si="1"/>
        <v>27.5</v>
      </c>
      <c r="BN35" s="89">
        <f t="shared" si="9"/>
        <v>0</v>
      </c>
      <c r="BO35" s="89">
        <f t="shared" si="10"/>
        <v>0</v>
      </c>
      <c r="BP35" s="89">
        <f t="shared" ref="BP35:BP221" si="27">IF(BO35&gt;=60,1,0)</f>
        <v>0</v>
      </c>
      <c r="BQ35" s="89">
        <f t="shared" si="2"/>
        <v>20</v>
      </c>
      <c r="BR35" s="89">
        <f t="shared" si="11"/>
        <v>0</v>
      </c>
      <c r="BS35" s="89">
        <f t="shared" si="12"/>
        <v>0</v>
      </c>
      <c r="BT35" s="89">
        <f t="shared" ref="BT35:BT221" si="28">IF(BS35&gt;=60,1,0)</f>
        <v>0</v>
      </c>
      <c r="BU35" s="89">
        <f t="shared" si="3"/>
        <v>13.75</v>
      </c>
      <c r="BV35" s="89">
        <f t="shared" si="13"/>
        <v>0</v>
      </c>
      <c r="BW35" s="89">
        <f t="shared" si="14"/>
        <v>0</v>
      </c>
      <c r="BX35" s="89">
        <f t="shared" ref="BX35:BX221" si="29">IF(BW35&gt;=60,1,0)</f>
        <v>0</v>
      </c>
      <c r="BY35" s="89" t="e">
        <f t="shared" si="4"/>
        <v>#REF!</v>
      </c>
      <c r="BZ35" s="89" t="e">
        <f t="shared" si="15"/>
        <v>#REF!</v>
      </c>
      <c r="CA35" s="89" t="e">
        <f t="shared" si="16"/>
        <v>#REF!</v>
      </c>
      <c r="CB35" s="89" t="e">
        <f t="shared" ref="CB35:CB221" si="30">IF(CA35&gt;=60,1,0)</f>
        <v>#REF!</v>
      </c>
    </row>
    <row r="36" spans="1:80" ht="14.25" hidden="1" customHeight="1">
      <c r="A36" s="93">
        <v>29</v>
      </c>
      <c r="B36" s="82"/>
      <c r="C36" s="82"/>
      <c r="D36" s="100"/>
      <c r="E36" s="82"/>
      <c r="F36" s="77"/>
      <c r="G36" s="77"/>
      <c r="H36" s="101"/>
      <c r="I36" s="96"/>
      <c r="J36" s="95"/>
      <c r="K36" s="95"/>
      <c r="L36" s="95"/>
      <c r="M36" s="95"/>
      <c r="N36" s="95"/>
      <c r="O36" s="82"/>
      <c r="P36" s="105"/>
      <c r="Q36" s="96"/>
      <c r="R36" s="96"/>
      <c r="S36" s="77"/>
      <c r="T36" s="95"/>
      <c r="U36" s="77"/>
      <c r="V36" s="97">
        <f t="shared" si="21"/>
        <v>0</v>
      </c>
      <c r="W36" s="182"/>
      <c r="X36" s="117"/>
      <c r="Y36" s="96"/>
      <c r="Z36" s="117"/>
      <c r="AA36" s="117"/>
      <c r="AB36" s="117"/>
      <c r="AC36" s="96"/>
      <c r="AD36" s="123"/>
      <c r="AE36" s="96"/>
      <c r="AF36" s="123"/>
      <c r="AG36" s="123"/>
      <c r="AH36" s="96"/>
      <c r="AI36" s="96"/>
      <c r="AJ36" s="117"/>
      <c r="AK36" s="117"/>
      <c r="AL36" s="117"/>
      <c r="AM36" s="123"/>
      <c r="AN36" s="117"/>
      <c r="AO36" s="117"/>
      <c r="AP36" s="117"/>
      <c r="AQ36" s="117"/>
      <c r="AR36" s="117"/>
      <c r="AS36" s="117"/>
      <c r="AT36" s="117"/>
      <c r="AU36" s="117"/>
      <c r="AV36" s="125"/>
      <c r="AW36" s="126"/>
      <c r="AX36" s="40"/>
      <c r="AY36" s="90"/>
      <c r="AZ36" s="97">
        <f t="shared" si="22"/>
        <v>0</v>
      </c>
      <c r="BA36" s="98"/>
      <c r="BB36" s="97">
        <f t="shared" si="23"/>
        <v>0</v>
      </c>
      <c r="BC36" s="90"/>
      <c r="BD36" s="89">
        <f t="shared" si="24"/>
        <v>0</v>
      </c>
      <c r="BE36" s="98"/>
      <c r="BF36" s="89">
        <f t="shared" si="25"/>
        <v>0</v>
      </c>
      <c r="BG36" s="99"/>
      <c r="BH36" s="66"/>
      <c r="BI36" s="89">
        <f t="shared" si="0"/>
        <v>38.75</v>
      </c>
      <c r="BJ36" s="89">
        <f t="shared" si="7"/>
        <v>0</v>
      </c>
      <c r="BK36" s="89">
        <f>(BJ36/BI33)*100</f>
        <v>0</v>
      </c>
      <c r="BL36" s="89">
        <f t="shared" si="26"/>
        <v>0</v>
      </c>
      <c r="BM36" s="89">
        <f t="shared" si="1"/>
        <v>27.5</v>
      </c>
      <c r="BN36" s="89">
        <f t="shared" si="9"/>
        <v>0</v>
      </c>
      <c r="BO36" s="89">
        <f t="shared" si="10"/>
        <v>0</v>
      </c>
      <c r="BP36" s="89">
        <f t="shared" si="27"/>
        <v>0</v>
      </c>
      <c r="BQ36" s="89">
        <f t="shared" si="2"/>
        <v>20</v>
      </c>
      <c r="BR36" s="89">
        <f t="shared" si="11"/>
        <v>0</v>
      </c>
      <c r="BS36" s="89">
        <f t="shared" si="12"/>
        <v>0</v>
      </c>
      <c r="BT36" s="89">
        <f t="shared" si="28"/>
        <v>0</v>
      </c>
      <c r="BU36" s="89">
        <f t="shared" si="3"/>
        <v>13.75</v>
      </c>
      <c r="BV36" s="89">
        <f t="shared" si="13"/>
        <v>0</v>
      </c>
      <c r="BW36" s="89">
        <f t="shared" si="14"/>
        <v>0</v>
      </c>
      <c r="BX36" s="89">
        <f t="shared" si="29"/>
        <v>0</v>
      </c>
      <c r="BY36" s="89" t="e">
        <f t="shared" si="4"/>
        <v>#REF!</v>
      </c>
      <c r="BZ36" s="89" t="e">
        <f t="shared" si="15"/>
        <v>#REF!</v>
      </c>
      <c r="CA36" s="89" t="e">
        <f t="shared" si="16"/>
        <v>#REF!</v>
      </c>
      <c r="CB36" s="89" t="e">
        <f t="shared" si="30"/>
        <v>#REF!</v>
      </c>
    </row>
    <row r="37" spans="1:80" ht="14.25" hidden="1" customHeight="1">
      <c r="A37" s="93">
        <v>30</v>
      </c>
      <c r="B37" s="82"/>
      <c r="C37" s="82"/>
      <c r="D37" s="100"/>
      <c r="E37" s="82"/>
      <c r="F37" s="77"/>
      <c r="G37" s="77"/>
      <c r="H37" s="101"/>
      <c r="I37" s="96"/>
      <c r="J37" s="95"/>
      <c r="K37" s="95"/>
      <c r="L37" s="95"/>
      <c r="M37" s="95"/>
      <c r="N37" s="95"/>
      <c r="O37" s="82"/>
      <c r="P37" s="105"/>
      <c r="Q37" s="96"/>
      <c r="R37" s="96"/>
      <c r="S37" s="77"/>
      <c r="T37" s="95"/>
      <c r="U37" s="77"/>
      <c r="V37" s="97">
        <f t="shared" si="21"/>
        <v>0</v>
      </c>
      <c r="W37" s="182"/>
      <c r="X37" s="117"/>
      <c r="Y37" s="96"/>
      <c r="Z37" s="117"/>
      <c r="AA37" s="117"/>
      <c r="AB37" s="117"/>
      <c r="AC37" s="96"/>
      <c r="AD37" s="123"/>
      <c r="AE37" s="96"/>
      <c r="AF37" s="123"/>
      <c r="AG37" s="123"/>
      <c r="AH37" s="96"/>
      <c r="AI37" s="96"/>
      <c r="AJ37" s="117"/>
      <c r="AK37" s="117"/>
      <c r="AL37" s="117"/>
      <c r="AM37" s="123"/>
      <c r="AN37" s="117"/>
      <c r="AO37" s="117"/>
      <c r="AP37" s="117"/>
      <c r="AQ37" s="117"/>
      <c r="AR37" s="117"/>
      <c r="AS37" s="117"/>
      <c r="AT37" s="117"/>
      <c r="AU37" s="117"/>
      <c r="AV37" s="125"/>
      <c r="AW37" s="126"/>
      <c r="AX37" s="40"/>
      <c r="AY37" s="90"/>
      <c r="AZ37" s="97">
        <f t="shared" si="22"/>
        <v>0</v>
      </c>
      <c r="BA37" s="98"/>
      <c r="BB37" s="97">
        <f t="shared" si="23"/>
        <v>0</v>
      </c>
      <c r="BC37" s="90"/>
      <c r="BD37" s="89">
        <f t="shared" si="24"/>
        <v>0</v>
      </c>
      <c r="BE37" s="98"/>
      <c r="BF37" s="89">
        <f t="shared" si="25"/>
        <v>0</v>
      </c>
      <c r="BG37" s="99"/>
      <c r="BH37" s="66"/>
      <c r="BI37" s="89">
        <f t="shared" si="0"/>
        <v>38.75</v>
      </c>
      <c r="BJ37" s="89">
        <f t="shared" si="7"/>
        <v>0</v>
      </c>
      <c r="BK37" s="89">
        <f>(BJ37/BI33)*100</f>
        <v>0</v>
      </c>
      <c r="BL37" s="89">
        <f t="shared" si="26"/>
        <v>0</v>
      </c>
      <c r="BM37" s="89">
        <f t="shared" si="1"/>
        <v>27.5</v>
      </c>
      <c r="BN37" s="89">
        <f t="shared" si="9"/>
        <v>0</v>
      </c>
      <c r="BO37" s="89">
        <f t="shared" si="10"/>
        <v>0</v>
      </c>
      <c r="BP37" s="89">
        <f t="shared" si="27"/>
        <v>0</v>
      </c>
      <c r="BQ37" s="89">
        <f t="shared" si="2"/>
        <v>20</v>
      </c>
      <c r="BR37" s="89">
        <f t="shared" si="11"/>
        <v>0</v>
      </c>
      <c r="BS37" s="89">
        <f t="shared" si="12"/>
        <v>0</v>
      </c>
      <c r="BT37" s="89">
        <f t="shared" si="28"/>
        <v>0</v>
      </c>
      <c r="BU37" s="89">
        <f t="shared" si="3"/>
        <v>13.75</v>
      </c>
      <c r="BV37" s="89">
        <f t="shared" si="13"/>
        <v>0</v>
      </c>
      <c r="BW37" s="89">
        <f t="shared" si="14"/>
        <v>0</v>
      </c>
      <c r="BX37" s="89">
        <f t="shared" si="29"/>
        <v>0</v>
      </c>
      <c r="BY37" s="89" t="e">
        <f t="shared" si="4"/>
        <v>#REF!</v>
      </c>
      <c r="BZ37" s="89" t="e">
        <f t="shared" si="15"/>
        <v>#REF!</v>
      </c>
      <c r="CA37" s="89" t="e">
        <f t="shared" si="16"/>
        <v>#REF!</v>
      </c>
      <c r="CB37" s="89" t="e">
        <f t="shared" si="30"/>
        <v>#REF!</v>
      </c>
    </row>
    <row r="38" spans="1:80" ht="14.25" hidden="1" customHeight="1">
      <c r="A38" s="93">
        <v>31</v>
      </c>
      <c r="B38" s="82"/>
      <c r="C38" s="82"/>
      <c r="D38" s="100"/>
      <c r="E38" s="82"/>
      <c r="F38" s="77"/>
      <c r="G38" s="77"/>
      <c r="H38" s="101"/>
      <c r="I38" s="96"/>
      <c r="J38" s="95"/>
      <c r="K38" s="95"/>
      <c r="L38" s="95"/>
      <c r="M38" s="95"/>
      <c r="N38" s="95"/>
      <c r="O38" s="82"/>
      <c r="P38" s="105"/>
      <c r="Q38" s="96"/>
      <c r="R38" s="96"/>
      <c r="S38" s="77"/>
      <c r="T38" s="95"/>
      <c r="U38" s="77"/>
      <c r="V38" s="97">
        <f t="shared" si="21"/>
        <v>0</v>
      </c>
      <c r="W38" s="182"/>
      <c r="X38" s="117"/>
      <c r="Y38" s="96"/>
      <c r="Z38" s="117"/>
      <c r="AA38" s="117"/>
      <c r="AB38" s="117"/>
      <c r="AC38" s="96"/>
      <c r="AD38" s="123"/>
      <c r="AE38" s="96"/>
      <c r="AF38" s="123"/>
      <c r="AG38" s="123"/>
      <c r="AH38" s="96"/>
      <c r="AI38" s="96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25"/>
      <c r="AW38" s="126"/>
      <c r="AX38" s="40"/>
      <c r="AY38" s="90"/>
      <c r="AZ38" s="97">
        <f t="shared" si="22"/>
        <v>0</v>
      </c>
      <c r="BA38" s="98"/>
      <c r="BB38" s="97">
        <f t="shared" si="23"/>
        <v>0</v>
      </c>
      <c r="BC38" s="90"/>
      <c r="BD38" s="89">
        <f t="shared" si="24"/>
        <v>0</v>
      </c>
      <c r="BE38" s="98"/>
      <c r="BF38" s="89">
        <f t="shared" si="25"/>
        <v>0</v>
      </c>
      <c r="BG38" s="99"/>
      <c r="BH38" s="66"/>
      <c r="BI38" s="89">
        <f t="shared" si="0"/>
        <v>38.75</v>
      </c>
      <c r="BJ38" s="89">
        <f t="shared" si="7"/>
        <v>0</v>
      </c>
      <c r="BK38" s="89">
        <f>(BJ38/BI37)*100</f>
        <v>0</v>
      </c>
      <c r="BL38" s="89">
        <f t="shared" si="26"/>
        <v>0</v>
      </c>
      <c r="BM38" s="89">
        <f t="shared" si="1"/>
        <v>27.5</v>
      </c>
      <c r="BN38" s="89">
        <f t="shared" si="9"/>
        <v>0</v>
      </c>
      <c r="BO38" s="89">
        <f t="shared" si="10"/>
        <v>0</v>
      </c>
      <c r="BP38" s="89">
        <f t="shared" si="27"/>
        <v>0</v>
      </c>
      <c r="BQ38" s="89">
        <f t="shared" si="2"/>
        <v>20</v>
      </c>
      <c r="BR38" s="89">
        <f t="shared" si="11"/>
        <v>0</v>
      </c>
      <c r="BS38" s="89">
        <f t="shared" si="12"/>
        <v>0</v>
      </c>
      <c r="BT38" s="89">
        <f t="shared" si="28"/>
        <v>0</v>
      </c>
      <c r="BU38" s="89">
        <f t="shared" si="3"/>
        <v>13.75</v>
      </c>
      <c r="BV38" s="89">
        <f t="shared" si="13"/>
        <v>0</v>
      </c>
      <c r="BW38" s="89">
        <f t="shared" si="14"/>
        <v>0</v>
      </c>
      <c r="BX38" s="89">
        <f t="shared" si="29"/>
        <v>0</v>
      </c>
      <c r="BY38" s="89" t="e">
        <f t="shared" si="4"/>
        <v>#REF!</v>
      </c>
      <c r="BZ38" s="89" t="e">
        <f t="shared" si="15"/>
        <v>#REF!</v>
      </c>
      <c r="CA38" s="89" t="e">
        <f t="shared" si="16"/>
        <v>#REF!</v>
      </c>
      <c r="CB38" s="89" t="e">
        <f t="shared" si="30"/>
        <v>#REF!</v>
      </c>
    </row>
    <row r="39" spans="1:80" ht="14.25" hidden="1" customHeight="1">
      <c r="A39" s="93">
        <v>32</v>
      </c>
      <c r="B39" s="82"/>
      <c r="C39" s="82"/>
      <c r="D39" s="100"/>
      <c r="E39" s="82"/>
      <c r="F39" s="77"/>
      <c r="G39" s="77"/>
      <c r="H39" s="101"/>
      <c r="I39" s="96"/>
      <c r="J39" s="95"/>
      <c r="K39" s="95"/>
      <c r="L39" s="95"/>
      <c r="M39" s="95"/>
      <c r="N39" s="95"/>
      <c r="O39" s="82"/>
      <c r="P39" s="105"/>
      <c r="Q39" s="96"/>
      <c r="R39" s="96"/>
      <c r="S39" s="77"/>
      <c r="T39" s="95"/>
      <c r="U39" s="77"/>
      <c r="V39" s="97">
        <f t="shared" si="21"/>
        <v>0</v>
      </c>
      <c r="W39" s="182"/>
      <c r="X39" s="117"/>
      <c r="Y39" s="96"/>
      <c r="Z39" s="117"/>
      <c r="AA39" s="117"/>
      <c r="AB39" s="117"/>
      <c r="AC39" s="96"/>
      <c r="AD39" s="123"/>
      <c r="AE39" s="96"/>
      <c r="AF39" s="123"/>
      <c r="AG39" s="123"/>
      <c r="AH39" s="96"/>
      <c r="AI39" s="96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25"/>
      <c r="AW39" s="126"/>
      <c r="AX39" s="40"/>
      <c r="AY39" s="90"/>
      <c r="AZ39" s="97">
        <f t="shared" si="22"/>
        <v>0</v>
      </c>
      <c r="BA39" s="98"/>
      <c r="BB39" s="97">
        <f t="shared" si="23"/>
        <v>0</v>
      </c>
      <c r="BC39" s="90"/>
      <c r="BD39" s="89">
        <f t="shared" si="24"/>
        <v>0</v>
      </c>
      <c r="BE39" s="98"/>
      <c r="BF39" s="89">
        <f t="shared" si="25"/>
        <v>0</v>
      </c>
      <c r="BG39" s="99"/>
      <c r="BH39" s="66"/>
      <c r="BI39" s="89">
        <f t="shared" si="0"/>
        <v>38.75</v>
      </c>
      <c r="BJ39" s="89">
        <f t="shared" si="7"/>
        <v>0</v>
      </c>
      <c r="BK39" s="89">
        <f>(BJ39/BI37)*100</f>
        <v>0</v>
      </c>
      <c r="BL39" s="89">
        <f t="shared" si="26"/>
        <v>0</v>
      </c>
      <c r="BM39" s="89">
        <f t="shared" si="1"/>
        <v>27.5</v>
      </c>
      <c r="BN39" s="89">
        <f t="shared" si="9"/>
        <v>0</v>
      </c>
      <c r="BO39" s="89">
        <f t="shared" si="10"/>
        <v>0</v>
      </c>
      <c r="BP39" s="89">
        <f t="shared" si="27"/>
        <v>0</v>
      </c>
      <c r="BQ39" s="89">
        <f t="shared" si="2"/>
        <v>20</v>
      </c>
      <c r="BR39" s="89">
        <f t="shared" si="11"/>
        <v>0</v>
      </c>
      <c r="BS39" s="89">
        <f t="shared" si="12"/>
        <v>0</v>
      </c>
      <c r="BT39" s="89">
        <f t="shared" si="28"/>
        <v>0</v>
      </c>
      <c r="BU39" s="89">
        <f t="shared" si="3"/>
        <v>13.75</v>
      </c>
      <c r="BV39" s="89">
        <f t="shared" si="13"/>
        <v>0</v>
      </c>
      <c r="BW39" s="89">
        <f t="shared" si="14"/>
        <v>0</v>
      </c>
      <c r="BX39" s="89">
        <f t="shared" si="29"/>
        <v>0</v>
      </c>
      <c r="BY39" s="89" t="e">
        <f t="shared" si="4"/>
        <v>#REF!</v>
      </c>
      <c r="BZ39" s="89" t="e">
        <f t="shared" si="15"/>
        <v>#REF!</v>
      </c>
      <c r="CA39" s="89" t="e">
        <f t="shared" si="16"/>
        <v>#REF!</v>
      </c>
      <c r="CB39" s="89" t="e">
        <f t="shared" si="30"/>
        <v>#REF!</v>
      </c>
    </row>
    <row r="40" spans="1:80" ht="14.25" hidden="1" customHeight="1">
      <c r="A40" s="93">
        <v>33</v>
      </c>
      <c r="B40" s="82"/>
      <c r="C40" s="82"/>
      <c r="D40" s="100"/>
      <c r="E40" s="82"/>
      <c r="F40" s="77"/>
      <c r="G40" s="77"/>
      <c r="H40" s="101"/>
      <c r="I40" s="96"/>
      <c r="J40" s="95"/>
      <c r="K40" s="95"/>
      <c r="L40" s="95"/>
      <c r="M40" s="95"/>
      <c r="N40" s="95"/>
      <c r="O40" s="82"/>
      <c r="P40" s="105"/>
      <c r="Q40" s="96"/>
      <c r="R40" s="96"/>
      <c r="S40" s="77"/>
      <c r="T40" s="95"/>
      <c r="U40" s="77"/>
      <c r="V40" s="97">
        <f t="shared" si="21"/>
        <v>0</v>
      </c>
      <c r="W40" s="182"/>
      <c r="X40" s="117"/>
      <c r="Y40" s="96"/>
      <c r="Z40" s="117"/>
      <c r="AA40" s="117"/>
      <c r="AB40" s="117"/>
      <c r="AC40" s="96"/>
      <c r="AD40" s="123"/>
      <c r="AE40" s="96"/>
      <c r="AF40" s="123"/>
      <c r="AG40" s="123"/>
      <c r="AH40" s="96"/>
      <c r="AI40" s="96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25"/>
      <c r="AW40" s="126">
        <f t="shared" ref="AW40:AW227" si="31">SUM(X40:AV40)</f>
        <v>0</v>
      </c>
      <c r="AX40" s="40"/>
      <c r="AY40" s="90"/>
      <c r="AZ40" s="97">
        <f t="shared" si="22"/>
        <v>0</v>
      </c>
      <c r="BA40" s="98"/>
      <c r="BB40" s="97">
        <f t="shared" si="23"/>
        <v>0</v>
      </c>
      <c r="BC40" s="90"/>
      <c r="BD40" s="89">
        <f t="shared" si="24"/>
        <v>0</v>
      </c>
      <c r="BE40" s="98"/>
      <c r="BF40" s="89">
        <f t="shared" si="25"/>
        <v>0</v>
      </c>
      <c r="BG40" s="99"/>
      <c r="BH40" s="66"/>
      <c r="BI40" s="89">
        <f t="shared" si="0"/>
        <v>38.75</v>
      </c>
      <c r="BJ40" s="89">
        <f t="shared" si="7"/>
        <v>0</v>
      </c>
      <c r="BK40" s="89">
        <f>(BJ40/BI37)*100</f>
        <v>0</v>
      </c>
      <c r="BL40" s="89">
        <f t="shared" si="26"/>
        <v>0</v>
      </c>
      <c r="BM40" s="89">
        <f t="shared" si="1"/>
        <v>27.5</v>
      </c>
      <c r="BN40" s="89">
        <f t="shared" si="9"/>
        <v>0</v>
      </c>
      <c r="BO40" s="89">
        <f t="shared" si="10"/>
        <v>0</v>
      </c>
      <c r="BP40" s="89">
        <f t="shared" si="27"/>
        <v>0</v>
      </c>
      <c r="BQ40" s="89">
        <f t="shared" si="2"/>
        <v>20</v>
      </c>
      <c r="BR40" s="89">
        <f t="shared" si="11"/>
        <v>0</v>
      </c>
      <c r="BS40" s="89">
        <f t="shared" si="12"/>
        <v>0</v>
      </c>
      <c r="BT40" s="89">
        <f t="shared" si="28"/>
        <v>0</v>
      </c>
      <c r="BU40" s="89">
        <f t="shared" si="3"/>
        <v>13.75</v>
      </c>
      <c r="BV40" s="89">
        <f t="shared" si="13"/>
        <v>0</v>
      </c>
      <c r="BW40" s="89">
        <f t="shared" si="14"/>
        <v>0</v>
      </c>
      <c r="BX40" s="89">
        <f t="shared" si="29"/>
        <v>0</v>
      </c>
      <c r="BY40" s="89" t="e">
        <f t="shared" si="4"/>
        <v>#REF!</v>
      </c>
      <c r="BZ40" s="89" t="e">
        <f t="shared" si="15"/>
        <v>#REF!</v>
      </c>
      <c r="CA40" s="89" t="e">
        <f t="shared" si="16"/>
        <v>#REF!</v>
      </c>
      <c r="CB40" s="89" t="e">
        <f t="shared" si="30"/>
        <v>#REF!</v>
      </c>
    </row>
    <row r="41" spans="1:80" ht="14.25" hidden="1" customHeight="1">
      <c r="A41" s="93">
        <v>34</v>
      </c>
      <c r="B41" s="82"/>
      <c r="C41" s="82"/>
      <c r="D41" s="100"/>
      <c r="E41" s="82"/>
      <c r="F41" s="77"/>
      <c r="G41" s="77"/>
      <c r="H41" s="101"/>
      <c r="I41" s="96"/>
      <c r="J41" s="95"/>
      <c r="K41" s="95"/>
      <c r="L41" s="95"/>
      <c r="M41" s="95"/>
      <c r="N41" s="95"/>
      <c r="O41" s="82"/>
      <c r="P41" s="105"/>
      <c r="Q41" s="96"/>
      <c r="R41" s="96"/>
      <c r="S41" s="77"/>
      <c r="T41" s="95"/>
      <c r="U41" s="77"/>
      <c r="V41" s="97">
        <f t="shared" si="21"/>
        <v>0</v>
      </c>
      <c r="W41" s="182"/>
      <c r="X41" s="117"/>
      <c r="Y41" s="96"/>
      <c r="Z41" s="117"/>
      <c r="AA41" s="117"/>
      <c r="AB41" s="117"/>
      <c r="AC41" s="96"/>
      <c r="AD41" s="123"/>
      <c r="AE41" s="96"/>
      <c r="AF41" s="123"/>
      <c r="AG41" s="123"/>
      <c r="AH41" s="96"/>
      <c r="AI41" s="96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25"/>
      <c r="AW41" s="126">
        <f t="shared" si="31"/>
        <v>0</v>
      </c>
      <c r="AX41" s="40"/>
      <c r="AY41" s="90"/>
      <c r="AZ41" s="97">
        <f t="shared" si="22"/>
        <v>0</v>
      </c>
      <c r="BA41" s="98"/>
      <c r="BB41" s="97">
        <f t="shared" si="23"/>
        <v>0</v>
      </c>
      <c r="BC41" s="90"/>
      <c r="BD41" s="89">
        <f t="shared" si="24"/>
        <v>0</v>
      </c>
      <c r="BE41" s="98"/>
      <c r="BF41" s="89">
        <f t="shared" si="25"/>
        <v>0</v>
      </c>
      <c r="BG41" s="99"/>
      <c r="BH41" s="66"/>
      <c r="BI41" s="89">
        <f t="shared" si="0"/>
        <v>38.75</v>
      </c>
      <c r="BJ41" s="89">
        <f t="shared" si="7"/>
        <v>0</v>
      </c>
      <c r="BK41" s="89">
        <f>(BJ41/BI37)*100</f>
        <v>0</v>
      </c>
      <c r="BL41" s="89">
        <f t="shared" si="26"/>
        <v>0</v>
      </c>
      <c r="BM41" s="89">
        <f t="shared" si="1"/>
        <v>27.5</v>
      </c>
      <c r="BN41" s="89">
        <f t="shared" si="9"/>
        <v>0</v>
      </c>
      <c r="BO41" s="89">
        <f t="shared" si="10"/>
        <v>0</v>
      </c>
      <c r="BP41" s="89">
        <f t="shared" si="27"/>
        <v>0</v>
      </c>
      <c r="BQ41" s="89">
        <f t="shared" si="2"/>
        <v>20</v>
      </c>
      <c r="BR41" s="89">
        <f t="shared" si="11"/>
        <v>0</v>
      </c>
      <c r="BS41" s="89">
        <f t="shared" si="12"/>
        <v>0</v>
      </c>
      <c r="BT41" s="89">
        <f t="shared" si="28"/>
        <v>0</v>
      </c>
      <c r="BU41" s="89">
        <f t="shared" si="3"/>
        <v>13.75</v>
      </c>
      <c r="BV41" s="89">
        <f t="shared" si="13"/>
        <v>0</v>
      </c>
      <c r="BW41" s="89">
        <f t="shared" si="14"/>
        <v>0</v>
      </c>
      <c r="BX41" s="89">
        <f t="shared" si="29"/>
        <v>0</v>
      </c>
      <c r="BY41" s="89" t="e">
        <f t="shared" si="4"/>
        <v>#REF!</v>
      </c>
      <c r="BZ41" s="89" t="e">
        <f t="shared" si="15"/>
        <v>#REF!</v>
      </c>
      <c r="CA41" s="89" t="e">
        <f t="shared" si="16"/>
        <v>#REF!</v>
      </c>
      <c r="CB41" s="89" t="e">
        <f t="shared" si="30"/>
        <v>#REF!</v>
      </c>
    </row>
    <row r="42" spans="1:80" ht="14.25" hidden="1" customHeight="1">
      <c r="A42" s="93">
        <v>35</v>
      </c>
      <c r="B42" s="82"/>
      <c r="C42" s="82"/>
      <c r="D42" s="100"/>
      <c r="E42" s="82"/>
      <c r="F42" s="77"/>
      <c r="G42" s="77"/>
      <c r="H42" s="101"/>
      <c r="I42" s="96"/>
      <c r="J42" s="95"/>
      <c r="K42" s="106"/>
      <c r="L42" s="106"/>
      <c r="M42" s="106"/>
      <c r="N42" s="106"/>
      <c r="O42" s="82"/>
      <c r="P42" s="105"/>
      <c r="Q42" s="96"/>
      <c r="R42" s="96"/>
      <c r="S42" s="77"/>
      <c r="T42" s="95"/>
      <c r="U42" s="77"/>
      <c r="V42" s="97">
        <f t="shared" si="21"/>
        <v>0</v>
      </c>
      <c r="W42" s="182"/>
      <c r="X42" s="117"/>
      <c r="Y42" s="96"/>
      <c r="Z42" s="117"/>
      <c r="AA42" s="117"/>
      <c r="AB42" s="117"/>
      <c r="AC42" s="96"/>
      <c r="AD42" s="123"/>
      <c r="AE42" s="96"/>
      <c r="AF42" s="123"/>
      <c r="AG42" s="123"/>
      <c r="AH42" s="96"/>
      <c r="AI42" s="96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28"/>
      <c r="AW42" s="126">
        <f t="shared" si="31"/>
        <v>0</v>
      </c>
      <c r="AX42" s="40"/>
      <c r="AY42" s="90"/>
      <c r="AZ42" s="97">
        <f t="shared" si="22"/>
        <v>0</v>
      </c>
      <c r="BA42" s="98"/>
      <c r="BB42" s="97">
        <f t="shared" si="23"/>
        <v>0</v>
      </c>
      <c r="BC42" s="90"/>
      <c r="BD42" s="89">
        <f t="shared" si="24"/>
        <v>0</v>
      </c>
      <c r="BE42" s="98"/>
      <c r="BF42" s="89">
        <f t="shared" si="25"/>
        <v>0</v>
      </c>
      <c r="BG42" s="99"/>
      <c r="BH42" s="66"/>
      <c r="BI42" s="89">
        <f t="shared" si="0"/>
        <v>38.75</v>
      </c>
      <c r="BJ42" s="89">
        <f t="shared" si="7"/>
        <v>0</v>
      </c>
      <c r="BK42" s="89">
        <f>(BJ42/BI41)*100</f>
        <v>0</v>
      </c>
      <c r="BL42" s="89">
        <f t="shared" si="26"/>
        <v>0</v>
      </c>
      <c r="BM42" s="89">
        <f t="shared" si="1"/>
        <v>27.5</v>
      </c>
      <c r="BN42" s="89">
        <f t="shared" si="9"/>
        <v>0</v>
      </c>
      <c r="BO42" s="89">
        <f t="shared" si="10"/>
        <v>0</v>
      </c>
      <c r="BP42" s="89">
        <f t="shared" si="27"/>
        <v>0</v>
      </c>
      <c r="BQ42" s="89">
        <f t="shared" si="2"/>
        <v>20</v>
      </c>
      <c r="BR42" s="89">
        <f t="shared" si="11"/>
        <v>0</v>
      </c>
      <c r="BS42" s="89">
        <f t="shared" si="12"/>
        <v>0</v>
      </c>
      <c r="BT42" s="89">
        <f t="shared" si="28"/>
        <v>0</v>
      </c>
      <c r="BU42" s="89">
        <f t="shared" si="3"/>
        <v>13.75</v>
      </c>
      <c r="BV42" s="89">
        <f t="shared" si="13"/>
        <v>0</v>
      </c>
      <c r="BW42" s="89">
        <f t="shared" si="14"/>
        <v>0</v>
      </c>
      <c r="BX42" s="89">
        <f t="shared" si="29"/>
        <v>0</v>
      </c>
      <c r="BY42" s="89" t="e">
        <f t="shared" si="4"/>
        <v>#REF!</v>
      </c>
      <c r="BZ42" s="89" t="e">
        <f t="shared" si="15"/>
        <v>#REF!</v>
      </c>
      <c r="CA42" s="89" t="e">
        <f t="shared" si="16"/>
        <v>#REF!</v>
      </c>
      <c r="CB42" s="89" t="e">
        <f t="shared" si="30"/>
        <v>#REF!</v>
      </c>
    </row>
    <row r="43" spans="1:80" ht="14.25" hidden="1" customHeight="1">
      <c r="A43" s="93">
        <v>36</v>
      </c>
      <c r="B43" s="82"/>
      <c r="C43" s="82"/>
      <c r="D43" s="100"/>
      <c r="E43" s="82"/>
      <c r="F43" s="77"/>
      <c r="G43" s="77"/>
      <c r="H43" s="101"/>
      <c r="I43" s="96"/>
      <c r="J43" s="95"/>
      <c r="K43" s="106"/>
      <c r="L43" s="106"/>
      <c r="M43" s="106"/>
      <c r="N43" s="106"/>
      <c r="O43" s="82"/>
      <c r="P43" s="105"/>
      <c r="Q43" s="96"/>
      <c r="R43" s="96"/>
      <c r="S43" s="77"/>
      <c r="T43" s="95"/>
      <c r="U43" s="77"/>
      <c r="V43" s="97">
        <f t="shared" si="21"/>
        <v>0</v>
      </c>
      <c r="W43" s="182"/>
      <c r="X43" s="117"/>
      <c r="Y43" s="96"/>
      <c r="Z43" s="117"/>
      <c r="AA43" s="117"/>
      <c r="AB43" s="117"/>
      <c r="AC43" s="96"/>
      <c r="AD43" s="123"/>
      <c r="AE43" s="96"/>
      <c r="AF43" s="123"/>
      <c r="AG43" s="123"/>
      <c r="AH43" s="96"/>
      <c r="AI43" s="96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28"/>
      <c r="AW43" s="126">
        <f t="shared" si="31"/>
        <v>0</v>
      </c>
      <c r="AX43" s="40"/>
      <c r="AY43" s="90"/>
      <c r="AZ43" s="97">
        <f t="shared" si="22"/>
        <v>0</v>
      </c>
      <c r="BA43" s="98"/>
      <c r="BB43" s="97">
        <f t="shared" si="23"/>
        <v>0</v>
      </c>
      <c r="BC43" s="90"/>
      <c r="BD43" s="89">
        <f t="shared" si="24"/>
        <v>0</v>
      </c>
      <c r="BE43" s="98"/>
      <c r="BF43" s="89">
        <f t="shared" si="25"/>
        <v>0</v>
      </c>
      <c r="BG43" s="99"/>
      <c r="BH43" s="66"/>
      <c r="BI43" s="89">
        <f t="shared" si="0"/>
        <v>38.75</v>
      </c>
      <c r="BJ43" s="89">
        <f t="shared" si="7"/>
        <v>0</v>
      </c>
      <c r="BK43" s="89">
        <f>(BJ43/BI41)*100</f>
        <v>0</v>
      </c>
      <c r="BL43" s="89">
        <f t="shared" si="26"/>
        <v>0</v>
      </c>
      <c r="BM43" s="89">
        <f t="shared" si="1"/>
        <v>27.5</v>
      </c>
      <c r="BN43" s="89">
        <f t="shared" si="9"/>
        <v>0</v>
      </c>
      <c r="BO43" s="89">
        <f t="shared" si="10"/>
        <v>0</v>
      </c>
      <c r="BP43" s="89">
        <f t="shared" si="27"/>
        <v>0</v>
      </c>
      <c r="BQ43" s="89">
        <f t="shared" si="2"/>
        <v>20</v>
      </c>
      <c r="BR43" s="89">
        <f t="shared" si="11"/>
        <v>0</v>
      </c>
      <c r="BS43" s="89">
        <f t="shared" si="12"/>
        <v>0</v>
      </c>
      <c r="BT43" s="89">
        <f t="shared" si="28"/>
        <v>0</v>
      </c>
      <c r="BU43" s="89">
        <f t="shared" si="3"/>
        <v>13.75</v>
      </c>
      <c r="BV43" s="89">
        <f t="shared" si="13"/>
        <v>0</v>
      </c>
      <c r="BW43" s="89">
        <f t="shared" si="14"/>
        <v>0</v>
      </c>
      <c r="BX43" s="89">
        <f t="shared" si="29"/>
        <v>0</v>
      </c>
      <c r="BY43" s="89" t="e">
        <f t="shared" si="4"/>
        <v>#REF!</v>
      </c>
      <c r="BZ43" s="89" t="e">
        <f t="shared" si="15"/>
        <v>#REF!</v>
      </c>
      <c r="CA43" s="89" t="e">
        <f t="shared" si="16"/>
        <v>#REF!</v>
      </c>
      <c r="CB43" s="89" t="e">
        <f t="shared" si="30"/>
        <v>#REF!</v>
      </c>
    </row>
    <row r="44" spans="1:80" ht="14.25" hidden="1" customHeight="1">
      <c r="A44" s="93">
        <v>37</v>
      </c>
      <c r="B44" s="82"/>
      <c r="C44" s="82"/>
      <c r="D44" s="100"/>
      <c r="E44" s="82"/>
      <c r="F44" s="77"/>
      <c r="G44" s="77"/>
      <c r="H44" s="101"/>
      <c r="I44" s="96"/>
      <c r="J44" s="95"/>
      <c r="K44" s="106"/>
      <c r="L44" s="106"/>
      <c r="M44" s="106"/>
      <c r="N44" s="106"/>
      <c r="O44" s="82"/>
      <c r="P44" s="105"/>
      <c r="Q44" s="96"/>
      <c r="R44" s="96"/>
      <c r="S44" s="77"/>
      <c r="T44" s="95"/>
      <c r="U44" s="77"/>
      <c r="V44" s="97">
        <f t="shared" si="21"/>
        <v>0</v>
      </c>
      <c r="W44" s="182"/>
      <c r="X44" s="117"/>
      <c r="Y44" s="96"/>
      <c r="Z44" s="117"/>
      <c r="AA44" s="117"/>
      <c r="AB44" s="117"/>
      <c r="AC44" s="96"/>
      <c r="AD44" s="123"/>
      <c r="AE44" s="96"/>
      <c r="AF44" s="123"/>
      <c r="AG44" s="123"/>
      <c r="AH44" s="96"/>
      <c r="AI44" s="96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28"/>
      <c r="AW44" s="126">
        <f t="shared" si="31"/>
        <v>0</v>
      </c>
      <c r="AX44" s="40"/>
      <c r="AY44" s="90"/>
      <c r="AZ44" s="97">
        <f t="shared" si="22"/>
        <v>0</v>
      </c>
      <c r="BA44" s="98"/>
      <c r="BB44" s="97">
        <f t="shared" si="23"/>
        <v>0</v>
      </c>
      <c r="BC44" s="90"/>
      <c r="BD44" s="89">
        <f t="shared" si="24"/>
        <v>0</v>
      </c>
      <c r="BE44" s="98"/>
      <c r="BF44" s="89">
        <f t="shared" si="25"/>
        <v>0</v>
      </c>
      <c r="BG44" s="99"/>
      <c r="BH44" s="66"/>
      <c r="BI44" s="89">
        <f t="shared" si="0"/>
        <v>38.75</v>
      </c>
      <c r="BJ44" s="89">
        <f t="shared" si="7"/>
        <v>0</v>
      </c>
      <c r="BK44" s="89">
        <f>(BJ44/BI41)*100</f>
        <v>0</v>
      </c>
      <c r="BL44" s="89">
        <f t="shared" si="26"/>
        <v>0</v>
      </c>
      <c r="BM44" s="89">
        <f t="shared" si="1"/>
        <v>27.5</v>
      </c>
      <c r="BN44" s="89">
        <f t="shared" si="9"/>
        <v>0</v>
      </c>
      <c r="BO44" s="89">
        <f t="shared" si="10"/>
        <v>0</v>
      </c>
      <c r="BP44" s="89">
        <f t="shared" si="27"/>
        <v>0</v>
      </c>
      <c r="BQ44" s="89">
        <f t="shared" si="2"/>
        <v>20</v>
      </c>
      <c r="BR44" s="89">
        <f t="shared" si="11"/>
        <v>0</v>
      </c>
      <c r="BS44" s="89">
        <f t="shared" si="12"/>
        <v>0</v>
      </c>
      <c r="BT44" s="89">
        <f t="shared" si="28"/>
        <v>0</v>
      </c>
      <c r="BU44" s="89">
        <f t="shared" si="3"/>
        <v>13.75</v>
      </c>
      <c r="BV44" s="89">
        <f t="shared" si="13"/>
        <v>0</v>
      </c>
      <c r="BW44" s="89">
        <f t="shared" si="14"/>
        <v>0</v>
      </c>
      <c r="BX44" s="89">
        <f t="shared" si="29"/>
        <v>0</v>
      </c>
      <c r="BY44" s="89" t="e">
        <f t="shared" si="4"/>
        <v>#REF!</v>
      </c>
      <c r="BZ44" s="89" t="e">
        <f t="shared" si="15"/>
        <v>#REF!</v>
      </c>
      <c r="CA44" s="89" t="e">
        <f t="shared" si="16"/>
        <v>#REF!</v>
      </c>
      <c r="CB44" s="89" t="e">
        <f t="shared" si="30"/>
        <v>#REF!</v>
      </c>
    </row>
    <row r="45" spans="1:80" ht="14.25" hidden="1" customHeight="1">
      <c r="A45" s="93">
        <v>38</v>
      </c>
      <c r="B45" s="82"/>
      <c r="C45" s="82"/>
      <c r="D45" s="100"/>
      <c r="E45" s="82"/>
      <c r="F45" s="77"/>
      <c r="G45" s="77"/>
      <c r="H45" s="101"/>
      <c r="I45" s="96"/>
      <c r="J45" s="95"/>
      <c r="K45" s="106"/>
      <c r="L45" s="106"/>
      <c r="M45" s="106"/>
      <c r="N45" s="106"/>
      <c r="O45" s="82"/>
      <c r="P45" s="105"/>
      <c r="Q45" s="96"/>
      <c r="R45" s="96"/>
      <c r="S45" s="77"/>
      <c r="T45" s="95"/>
      <c r="U45" s="77"/>
      <c r="V45" s="97">
        <f t="shared" si="21"/>
        <v>0</v>
      </c>
      <c r="W45" s="182"/>
      <c r="X45" s="117"/>
      <c r="Y45" s="96"/>
      <c r="Z45" s="117"/>
      <c r="AA45" s="117"/>
      <c r="AB45" s="117"/>
      <c r="AC45" s="96"/>
      <c r="AD45" s="123"/>
      <c r="AE45" s="96"/>
      <c r="AF45" s="123"/>
      <c r="AG45" s="123"/>
      <c r="AH45" s="96"/>
      <c r="AI45" s="96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28"/>
      <c r="AW45" s="126">
        <f t="shared" si="31"/>
        <v>0</v>
      </c>
      <c r="AX45" s="40"/>
      <c r="AY45" s="90"/>
      <c r="AZ45" s="97">
        <f t="shared" si="22"/>
        <v>0</v>
      </c>
      <c r="BA45" s="98"/>
      <c r="BB45" s="97">
        <f t="shared" si="23"/>
        <v>0</v>
      </c>
      <c r="BC45" s="90"/>
      <c r="BD45" s="89">
        <f t="shared" si="24"/>
        <v>0</v>
      </c>
      <c r="BE45" s="98"/>
      <c r="BF45" s="89">
        <f t="shared" si="25"/>
        <v>0</v>
      </c>
      <c r="BG45" s="99"/>
      <c r="BH45" s="66"/>
      <c r="BI45" s="89">
        <f t="shared" si="0"/>
        <v>38.75</v>
      </c>
      <c r="BJ45" s="89">
        <f t="shared" si="7"/>
        <v>0</v>
      </c>
      <c r="BK45" s="89">
        <f>(BJ45/BI41)*100</f>
        <v>0</v>
      </c>
      <c r="BL45" s="89">
        <f t="shared" si="26"/>
        <v>0</v>
      </c>
      <c r="BM45" s="89">
        <f t="shared" si="1"/>
        <v>27.5</v>
      </c>
      <c r="BN45" s="89">
        <f t="shared" si="9"/>
        <v>0</v>
      </c>
      <c r="BO45" s="89">
        <f t="shared" si="10"/>
        <v>0</v>
      </c>
      <c r="BP45" s="89">
        <f t="shared" si="27"/>
        <v>0</v>
      </c>
      <c r="BQ45" s="89">
        <f t="shared" si="2"/>
        <v>20</v>
      </c>
      <c r="BR45" s="89">
        <f t="shared" si="11"/>
        <v>0</v>
      </c>
      <c r="BS45" s="89">
        <f t="shared" si="12"/>
        <v>0</v>
      </c>
      <c r="BT45" s="89">
        <f t="shared" si="28"/>
        <v>0</v>
      </c>
      <c r="BU45" s="89">
        <f t="shared" si="3"/>
        <v>13.75</v>
      </c>
      <c r="BV45" s="89">
        <f t="shared" si="13"/>
        <v>0</v>
      </c>
      <c r="BW45" s="89">
        <f t="shared" si="14"/>
        <v>0</v>
      </c>
      <c r="BX45" s="89">
        <f t="shared" si="29"/>
        <v>0</v>
      </c>
      <c r="BY45" s="89" t="e">
        <f t="shared" si="4"/>
        <v>#REF!</v>
      </c>
      <c r="BZ45" s="89" t="e">
        <f t="shared" si="15"/>
        <v>#REF!</v>
      </c>
      <c r="CA45" s="89" t="e">
        <f t="shared" si="16"/>
        <v>#REF!</v>
      </c>
      <c r="CB45" s="89" t="e">
        <f t="shared" si="30"/>
        <v>#REF!</v>
      </c>
    </row>
    <row r="46" spans="1:80" ht="14.25" hidden="1" customHeight="1">
      <c r="A46" s="93">
        <v>39</v>
      </c>
      <c r="B46" s="82"/>
      <c r="C46" s="82"/>
      <c r="D46" s="100"/>
      <c r="E46" s="82"/>
      <c r="F46" s="77"/>
      <c r="G46" s="77"/>
      <c r="H46" s="101"/>
      <c r="I46" s="96"/>
      <c r="J46" s="95"/>
      <c r="K46" s="106"/>
      <c r="L46" s="106"/>
      <c r="M46" s="106"/>
      <c r="N46" s="106"/>
      <c r="O46" s="82"/>
      <c r="P46" s="105"/>
      <c r="Q46" s="96"/>
      <c r="R46" s="96"/>
      <c r="S46" s="77"/>
      <c r="T46" s="95"/>
      <c r="U46" s="77"/>
      <c r="V46" s="97">
        <f t="shared" si="21"/>
        <v>0</v>
      </c>
      <c r="W46" s="182"/>
      <c r="X46" s="117"/>
      <c r="Y46" s="96"/>
      <c r="Z46" s="117"/>
      <c r="AA46" s="117"/>
      <c r="AB46" s="117"/>
      <c r="AC46" s="96"/>
      <c r="AD46" s="123"/>
      <c r="AE46" s="96"/>
      <c r="AF46" s="123"/>
      <c r="AG46" s="123"/>
      <c r="AH46" s="96"/>
      <c r="AI46" s="96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28"/>
      <c r="AW46" s="126">
        <f t="shared" si="31"/>
        <v>0</v>
      </c>
      <c r="AX46" s="40"/>
      <c r="AY46" s="90"/>
      <c r="AZ46" s="97">
        <f t="shared" si="22"/>
        <v>0</v>
      </c>
      <c r="BA46" s="98"/>
      <c r="BB46" s="97">
        <f t="shared" si="23"/>
        <v>0</v>
      </c>
      <c r="BC46" s="90"/>
      <c r="BD46" s="89">
        <f t="shared" si="24"/>
        <v>0</v>
      </c>
      <c r="BE46" s="98"/>
      <c r="BF46" s="89">
        <f t="shared" si="25"/>
        <v>0</v>
      </c>
      <c r="BG46" s="99"/>
      <c r="BH46" s="66"/>
      <c r="BI46" s="89">
        <f t="shared" si="0"/>
        <v>38.75</v>
      </c>
      <c r="BJ46" s="89">
        <f t="shared" si="7"/>
        <v>0</v>
      </c>
      <c r="BK46" s="89">
        <f>(BJ46/BI45)*100</f>
        <v>0</v>
      </c>
      <c r="BL46" s="89">
        <f t="shared" si="26"/>
        <v>0</v>
      </c>
      <c r="BM46" s="89">
        <f t="shared" si="1"/>
        <v>27.5</v>
      </c>
      <c r="BN46" s="89">
        <f t="shared" si="9"/>
        <v>0</v>
      </c>
      <c r="BO46" s="89">
        <f t="shared" si="10"/>
        <v>0</v>
      </c>
      <c r="BP46" s="89">
        <f t="shared" si="27"/>
        <v>0</v>
      </c>
      <c r="BQ46" s="89">
        <f t="shared" si="2"/>
        <v>20</v>
      </c>
      <c r="BR46" s="89">
        <f t="shared" si="11"/>
        <v>0</v>
      </c>
      <c r="BS46" s="89">
        <f t="shared" si="12"/>
        <v>0</v>
      </c>
      <c r="BT46" s="89">
        <f t="shared" si="28"/>
        <v>0</v>
      </c>
      <c r="BU46" s="89">
        <f t="shared" si="3"/>
        <v>13.75</v>
      </c>
      <c r="BV46" s="89">
        <f t="shared" si="13"/>
        <v>0</v>
      </c>
      <c r="BW46" s="89">
        <f t="shared" si="14"/>
        <v>0</v>
      </c>
      <c r="BX46" s="89">
        <f t="shared" si="29"/>
        <v>0</v>
      </c>
      <c r="BY46" s="89" t="e">
        <f t="shared" si="4"/>
        <v>#REF!</v>
      </c>
      <c r="BZ46" s="89" t="e">
        <f t="shared" si="15"/>
        <v>#REF!</v>
      </c>
      <c r="CA46" s="89" t="e">
        <f t="shared" si="16"/>
        <v>#REF!</v>
      </c>
      <c r="CB46" s="89" t="e">
        <f t="shared" si="30"/>
        <v>#REF!</v>
      </c>
    </row>
    <row r="47" spans="1:80" ht="14.25" hidden="1" customHeight="1">
      <c r="A47" s="93">
        <v>40</v>
      </c>
      <c r="B47" s="82"/>
      <c r="C47" s="82"/>
      <c r="D47" s="100"/>
      <c r="E47" s="82"/>
      <c r="F47" s="77"/>
      <c r="G47" s="77"/>
      <c r="H47" s="101"/>
      <c r="I47" s="96"/>
      <c r="J47" s="95"/>
      <c r="K47" s="106"/>
      <c r="L47" s="106"/>
      <c r="M47" s="106"/>
      <c r="N47" s="106"/>
      <c r="O47" s="82"/>
      <c r="P47" s="105"/>
      <c r="Q47" s="96"/>
      <c r="R47" s="96"/>
      <c r="S47" s="77"/>
      <c r="T47" s="95"/>
      <c r="U47" s="77"/>
      <c r="V47" s="97">
        <f t="shared" si="21"/>
        <v>0</v>
      </c>
      <c r="W47" s="182"/>
      <c r="X47" s="117"/>
      <c r="Y47" s="96"/>
      <c r="Z47" s="117"/>
      <c r="AA47" s="117"/>
      <c r="AB47" s="117"/>
      <c r="AC47" s="96"/>
      <c r="AD47" s="123"/>
      <c r="AE47" s="96"/>
      <c r="AF47" s="123"/>
      <c r="AG47" s="123"/>
      <c r="AH47" s="96"/>
      <c r="AI47" s="96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28"/>
      <c r="AW47" s="126">
        <f t="shared" si="31"/>
        <v>0</v>
      </c>
      <c r="AX47" s="40"/>
      <c r="AY47" s="90"/>
      <c r="AZ47" s="97">
        <f t="shared" si="22"/>
        <v>0</v>
      </c>
      <c r="BA47" s="98"/>
      <c r="BB47" s="97">
        <f t="shared" si="23"/>
        <v>0</v>
      </c>
      <c r="BC47" s="90"/>
      <c r="BD47" s="89">
        <f t="shared" si="24"/>
        <v>0</v>
      </c>
      <c r="BE47" s="98"/>
      <c r="BF47" s="89">
        <f t="shared" si="25"/>
        <v>0</v>
      </c>
      <c r="BG47" s="99"/>
      <c r="BH47" s="66"/>
      <c r="BI47" s="89">
        <f t="shared" si="0"/>
        <v>38.75</v>
      </c>
      <c r="BJ47" s="89">
        <f t="shared" si="7"/>
        <v>0</v>
      </c>
      <c r="BK47" s="89">
        <f>(BJ47/BI45)*100</f>
        <v>0</v>
      </c>
      <c r="BL47" s="89">
        <f t="shared" si="26"/>
        <v>0</v>
      </c>
      <c r="BM47" s="89">
        <f t="shared" si="1"/>
        <v>27.5</v>
      </c>
      <c r="BN47" s="89">
        <f t="shared" si="9"/>
        <v>0</v>
      </c>
      <c r="BO47" s="89">
        <f t="shared" si="10"/>
        <v>0</v>
      </c>
      <c r="BP47" s="89">
        <f t="shared" si="27"/>
        <v>0</v>
      </c>
      <c r="BQ47" s="89">
        <f t="shared" si="2"/>
        <v>20</v>
      </c>
      <c r="BR47" s="89">
        <f t="shared" si="11"/>
        <v>0</v>
      </c>
      <c r="BS47" s="89">
        <f t="shared" si="12"/>
        <v>0</v>
      </c>
      <c r="BT47" s="89">
        <f t="shared" si="28"/>
        <v>0</v>
      </c>
      <c r="BU47" s="89">
        <f t="shared" si="3"/>
        <v>13.75</v>
      </c>
      <c r="BV47" s="89">
        <f t="shared" si="13"/>
        <v>0</v>
      </c>
      <c r="BW47" s="89">
        <f t="shared" si="14"/>
        <v>0</v>
      </c>
      <c r="BX47" s="89">
        <f t="shared" si="29"/>
        <v>0</v>
      </c>
      <c r="BY47" s="89" t="e">
        <f t="shared" si="4"/>
        <v>#REF!</v>
      </c>
      <c r="BZ47" s="89" t="e">
        <f t="shared" si="15"/>
        <v>#REF!</v>
      </c>
      <c r="CA47" s="89" t="e">
        <f t="shared" si="16"/>
        <v>#REF!</v>
      </c>
      <c r="CB47" s="89" t="e">
        <f t="shared" si="30"/>
        <v>#REF!</v>
      </c>
    </row>
    <row r="48" spans="1:80" ht="14.25" hidden="1" customHeight="1">
      <c r="A48" s="93">
        <v>41</v>
      </c>
      <c r="B48" s="82"/>
      <c r="C48" s="82"/>
      <c r="D48" s="100"/>
      <c r="E48" s="82"/>
      <c r="F48" s="77"/>
      <c r="G48" s="77"/>
      <c r="H48" s="101"/>
      <c r="I48" s="96"/>
      <c r="J48" s="95"/>
      <c r="K48" s="106"/>
      <c r="L48" s="106"/>
      <c r="M48" s="106"/>
      <c r="N48" s="106"/>
      <c r="O48" s="82"/>
      <c r="P48" s="105"/>
      <c r="Q48" s="96"/>
      <c r="R48" s="96"/>
      <c r="S48" s="77"/>
      <c r="T48" s="95"/>
      <c r="U48" s="77"/>
      <c r="V48" s="97">
        <f t="shared" si="21"/>
        <v>0</v>
      </c>
      <c r="W48" s="182"/>
      <c r="X48" s="117"/>
      <c r="Y48" s="96"/>
      <c r="Z48" s="117"/>
      <c r="AA48" s="117"/>
      <c r="AB48" s="117"/>
      <c r="AC48" s="96"/>
      <c r="AD48" s="123"/>
      <c r="AE48" s="96"/>
      <c r="AF48" s="123"/>
      <c r="AG48" s="123"/>
      <c r="AH48" s="96"/>
      <c r="AI48" s="96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28"/>
      <c r="AW48" s="126">
        <f t="shared" si="31"/>
        <v>0</v>
      </c>
      <c r="AX48" s="40"/>
      <c r="AY48" s="90"/>
      <c r="AZ48" s="97">
        <f t="shared" si="22"/>
        <v>0</v>
      </c>
      <c r="BA48" s="98"/>
      <c r="BB48" s="97">
        <f t="shared" si="23"/>
        <v>0</v>
      </c>
      <c r="BC48" s="90"/>
      <c r="BD48" s="89">
        <f t="shared" si="24"/>
        <v>0</v>
      </c>
      <c r="BE48" s="98"/>
      <c r="BF48" s="89">
        <f t="shared" si="25"/>
        <v>0</v>
      </c>
      <c r="BG48" s="99"/>
      <c r="BH48" s="66"/>
      <c r="BI48" s="89">
        <f t="shared" si="0"/>
        <v>38.75</v>
      </c>
      <c r="BJ48" s="89">
        <f t="shared" si="7"/>
        <v>0</v>
      </c>
      <c r="BK48" s="89">
        <f t="shared" ref="BK48:BK221" si="32">(BJ48/BI45)*100</f>
        <v>0</v>
      </c>
      <c r="BL48" s="89">
        <f t="shared" si="26"/>
        <v>0</v>
      </c>
      <c r="BM48" s="89">
        <f t="shared" si="1"/>
        <v>27.5</v>
      </c>
      <c r="BN48" s="89">
        <f t="shared" si="9"/>
        <v>0</v>
      </c>
      <c r="BO48" s="89">
        <f t="shared" si="10"/>
        <v>0</v>
      </c>
      <c r="BP48" s="89">
        <f t="shared" si="27"/>
        <v>0</v>
      </c>
      <c r="BQ48" s="89">
        <f t="shared" si="2"/>
        <v>20</v>
      </c>
      <c r="BR48" s="89">
        <f t="shared" si="11"/>
        <v>0</v>
      </c>
      <c r="BS48" s="89">
        <f t="shared" si="12"/>
        <v>0</v>
      </c>
      <c r="BT48" s="89">
        <f t="shared" si="28"/>
        <v>0</v>
      </c>
      <c r="BU48" s="89">
        <f t="shared" si="3"/>
        <v>13.75</v>
      </c>
      <c r="BV48" s="89">
        <f t="shared" si="13"/>
        <v>0</v>
      </c>
      <c r="BW48" s="89">
        <f t="shared" si="14"/>
        <v>0</v>
      </c>
      <c r="BX48" s="89">
        <f t="shared" si="29"/>
        <v>0</v>
      </c>
      <c r="BY48" s="89" t="e">
        <f t="shared" si="4"/>
        <v>#REF!</v>
      </c>
      <c r="BZ48" s="89" t="e">
        <f t="shared" si="15"/>
        <v>#REF!</v>
      </c>
      <c r="CA48" s="89" t="e">
        <f t="shared" si="16"/>
        <v>#REF!</v>
      </c>
      <c r="CB48" s="89" t="e">
        <f t="shared" si="30"/>
        <v>#REF!</v>
      </c>
    </row>
    <row r="49" spans="1:80" ht="14.25" hidden="1" customHeight="1">
      <c r="A49" s="93">
        <v>42</v>
      </c>
      <c r="B49" s="82"/>
      <c r="C49" s="82"/>
      <c r="D49" s="105"/>
      <c r="E49" s="77"/>
      <c r="F49" s="77"/>
      <c r="G49" s="77"/>
      <c r="H49" s="77"/>
      <c r="I49" s="95"/>
      <c r="J49" s="95"/>
      <c r="K49" s="106"/>
      <c r="L49" s="106"/>
      <c r="M49" s="106"/>
      <c r="N49" s="106"/>
      <c r="O49" s="95"/>
      <c r="P49" s="105"/>
      <c r="Q49" s="77"/>
      <c r="R49" s="77"/>
      <c r="S49" s="77"/>
      <c r="T49" s="77"/>
      <c r="U49" s="77"/>
      <c r="V49" s="97">
        <f t="shared" si="21"/>
        <v>0</v>
      </c>
      <c r="W49" s="182"/>
      <c r="X49" s="117"/>
      <c r="Y49" s="96"/>
      <c r="Z49" s="117"/>
      <c r="AA49" s="117"/>
      <c r="AB49" s="117"/>
      <c r="AC49" s="96"/>
      <c r="AD49" s="123"/>
      <c r="AE49" s="96"/>
      <c r="AF49" s="123"/>
      <c r="AG49" s="123"/>
      <c r="AH49" s="96"/>
      <c r="AI49" s="96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28"/>
      <c r="AW49" s="126">
        <f t="shared" si="31"/>
        <v>0</v>
      </c>
      <c r="AX49" s="40"/>
      <c r="AY49" s="90"/>
      <c r="AZ49" s="97">
        <f t="shared" si="22"/>
        <v>0</v>
      </c>
      <c r="BA49" s="98"/>
      <c r="BB49" s="97">
        <f t="shared" si="23"/>
        <v>0</v>
      </c>
      <c r="BC49" s="90"/>
      <c r="BD49" s="89">
        <f t="shared" si="24"/>
        <v>0</v>
      </c>
      <c r="BE49" s="98"/>
      <c r="BF49" s="89">
        <f t="shared" si="25"/>
        <v>0</v>
      </c>
      <c r="BG49" s="99"/>
      <c r="BH49" s="66"/>
      <c r="BI49" s="89">
        <f t="shared" si="0"/>
        <v>38.75</v>
      </c>
      <c r="BJ49" s="89">
        <f t="shared" si="7"/>
        <v>0</v>
      </c>
      <c r="BK49" s="89">
        <f t="shared" si="32"/>
        <v>0</v>
      </c>
      <c r="BL49" s="89">
        <f t="shared" si="26"/>
        <v>0</v>
      </c>
      <c r="BM49" s="89">
        <f t="shared" si="1"/>
        <v>27.5</v>
      </c>
      <c r="BN49" s="89">
        <f t="shared" si="9"/>
        <v>0</v>
      </c>
      <c r="BO49" s="89">
        <f t="shared" si="10"/>
        <v>0</v>
      </c>
      <c r="BP49" s="89">
        <f t="shared" si="27"/>
        <v>0</v>
      </c>
      <c r="BQ49" s="89">
        <f t="shared" si="2"/>
        <v>20</v>
      </c>
      <c r="BR49" s="89">
        <f t="shared" si="11"/>
        <v>0</v>
      </c>
      <c r="BS49" s="89">
        <f t="shared" si="12"/>
        <v>0</v>
      </c>
      <c r="BT49" s="89">
        <f t="shared" si="28"/>
        <v>0</v>
      </c>
      <c r="BU49" s="89">
        <f t="shared" si="3"/>
        <v>13.75</v>
      </c>
      <c r="BV49" s="89">
        <f t="shared" si="13"/>
        <v>0</v>
      </c>
      <c r="BW49" s="89">
        <f t="shared" si="14"/>
        <v>0</v>
      </c>
      <c r="BX49" s="89">
        <f t="shared" si="29"/>
        <v>0</v>
      </c>
      <c r="BY49" s="89" t="e">
        <f t="shared" si="4"/>
        <v>#REF!</v>
      </c>
      <c r="BZ49" s="89" t="e">
        <f t="shared" si="15"/>
        <v>#REF!</v>
      </c>
      <c r="CA49" s="89" t="e">
        <f t="shared" si="16"/>
        <v>#REF!</v>
      </c>
      <c r="CB49" s="89" t="e">
        <f t="shared" si="30"/>
        <v>#REF!</v>
      </c>
    </row>
    <row r="50" spans="1:80" ht="14.25" hidden="1" customHeight="1">
      <c r="A50" s="93">
        <v>43</v>
      </c>
      <c r="B50" s="82"/>
      <c r="C50" s="82"/>
      <c r="D50" s="105"/>
      <c r="E50" s="77"/>
      <c r="F50" s="77"/>
      <c r="G50" s="77"/>
      <c r="H50" s="77"/>
      <c r="I50" s="95"/>
      <c r="J50" s="95"/>
      <c r="K50" s="106"/>
      <c r="L50" s="106"/>
      <c r="M50" s="106"/>
      <c r="N50" s="106"/>
      <c r="O50" s="95"/>
      <c r="P50" s="105"/>
      <c r="Q50" s="77"/>
      <c r="R50" s="77"/>
      <c r="S50" s="77"/>
      <c r="T50" s="77"/>
      <c r="U50" s="77"/>
      <c r="V50" s="97">
        <f t="shared" si="21"/>
        <v>0</v>
      </c>
      <c r="W50" s="182"/>
      <c r="X50" s="117"/>
      <c r="Y50" s="96"/>
      <c r="Z50" s="117"/>
      <c r="AA50" s="117"/>
      <c r="AB50" s="117"/>
      <c r="AC50" s="96"/>
      <c r="AD50" s="123"/>
      <c r="AE50" s="96"/>
      <c r="AF50" s="123"/>
      <c r="AG50" s="123"/>
      <c r="AH50" s="96"/>
      <c r="AI50" s="96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28"/>
      <c r="AW50" s="126">
        <f t="shared" si="31"/>
        <v>0</v>
      </c>
      <c r="AX50" s="40"/>
      <c r="AY50" s="90"/>
      <c r="AZ50" s="97">
        <f t="shared" si="22"/>
        <v>0</v>
      </c>
      <c r="BA50" s="98"/>
      <c r="BB50" s="97">
        <f t="shared" si="23"/>
        <v>0</v>
      </c>
      <c r="BC50" s="90"/>
      <c r="BD50" s="89">
        <f t="shared" si="24"/>
        <v>0</v>
      </c>
      <c r="BE50" s="98"/>
      <c r="BF50" s="89">
        <f t="shared" si="25"/>
        <v>0</v>
      </c>
      <c r="BG50" s="99"/>
      <c r="BH50" s="66"/>
      <c r="BI50" s="89">
        <f t="shared" si="0"/>
        <v>38.75</v>
      </c>
      <c r="BJ50" s="89">
        <f t="shared" si="7"/>
        <v>0</v>
      </c>
      <c r="BK50" s="89">
        <f t="shared" si="32"/>
        <v>0</v>
      </c>
      <c r="BL50" s="89">
        <f t="shared" si="26"/>
        <v>0</v>
      </c>
      <c r="BM50" s="89">
        <f t="shared" si="1"/>
        <v>27.5</v>
      </c>
      <c r="BN50" s="89">
        <f t="shared" si="9"/>
        <v>0</v>
      </c>
      <c r="BO50" s="89">
        <f t="shared" si="10"/>
        <v>0</v>
      </c>
      <c r="BP50" s="89">
        <f t="shared" si="27"/>
        <v>0</v>
      </c>
      <c r="BQ50" s="89">
        <f t="shared" si="2"/>
        <v>20</v>
      </c>
      <c r="BR50" s="89">
        <f t="shared" si="11"/>
        <v>0</v>
      </c>
      <c r="BS50" s="89">
        <f t="shared" si="12"/>
        <v>0</v>
      </c>
      <c r="BT50" s="89">
        <f t="shared" si="28"/>
        <v>0</v>
      </c>
      <c r="BU50" s="89">
        <f t="shared" si="3"/>
        <v>13.75</v>
      </c>
      <c r="BV50" s="89">
        <f t="shared" si="13"/>
        <v>0</v>
      </c>
      <c r="BW50" s="89">
        <f t="shared" si="14"/>
        <v>0</v>
      </c>
      <c r="BX50" s="89">
        <f t="shared" si="29"/>
        <v>0</v>
      </c>
      <c r="BY50" s="89" t="e">
        <f t="shared" si="4"/>
        <v>#REF!</v>
      </c>
      <c r="BZ50" s="89" t="e">
        <f t="shared" si="15"/>
        <v>#REF!</v>
      </c>
      <c r="CA50" s="89" t="e">
        <f t="shared" si="16"/>
        <v>#REF!</v>
      </c>
      <c r="CB50" s="89" t="e">
        <f t="shared" si="30"/>
        <v>#REF!</v>
      </c>
    </row>
    <row r="51" spans="1:80" ht="14.25" hidden="1" customHeight="1">
      <c r="A51" s="93">
        <v>44</v>
      </c>
      <c r="B51" s="82"/>
      <c r="C51" s="82"/>
      <c r="D51" s="105"/>
      <c r="E51" s="77"/>
      <c r="F51" s="77"/>
      <c r="G51" s="77"/>
      <c r="H51" s="77"/>
      <c r="I51" s="95"/>
      <c r="J51" s="95"/>
      <c r="K51" s="106"/>
      <c r="L51" s="106"/>
      <c r="M51" s="106"/>
      <c r="N51" s="106"/>
      <c r="O51" s="95"/>
      <c r="P51" s="105"/>
      <c r="Q51" s="77"/>
      <c r="R51" s="77"/>
      <c r="S51" s="77"/>
      <c r="T51" s="77"/>
      <c r="U51" s="77"/>
      <c r="V51" s="97">
        <f t="shared" si="21"/>
        <v>0</v>
      </c>
      <c r="W51" s="182"/>
      <c r="X51" s="117"/>
      <c r="Y51" s="96"/>
      <c r="Z51" s="117"/>
      <c r="AA51" s="117"/>
      <c r="AB51" s="117"/>
      <c r="AC51" s="96"/>
      <c r="AD51" s="123"/>
      <c r="AE51" s="96"/>
      <c r="AF51" s="123"/>
      <c r="AG51" s="123"/>
      <c r="AH51" s="96"/>
      <c r="AI51" s="96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28"/>
      <c r="AW51" s="126">
        <f t="shared" si="31"/>
        <v>0</v>
      </c>
      <c r="AX51" s="40"/>
      <c r="AY51" s="90"/>
      <c r="AZ51" s="97">
        <f t="shared" si="22"/>
        <v>0</v>
      </c>
      <c r="BA51" s="98"/>
      <c r="BB51" s="97">
        <f t="shared" si="23"/>
        <v>0</v>
      </c>
      <c r="BC51" s="90"/>
      <c r="BD51" s="89">
        <f t="shared" si="24"/>
        <v>0</v>
      </c>
      <c r="BE51" s="98"/>
      <c r="BF51" s="89">
        <f t="shared" si="25"/>
        <v>0</v>
      </c>
      <c r="BG51" s="99"/>
      <c r="BH51" s="66"/>
      <c r="BI51" s="89">
        <f t="shared" si="0"/>
        <v>38.75</v>
      </c>
      <c r="BJ51" s="89">
        <f t="shared" si="7"/>
        <v>0</v>
      </c>
      <c r="BK51" s="89">
        <f t="shared" si="32"/>
        <v>0</v>
      </c>
      <c r="BL51" s="89">
        <f t="shared" si="26"/>
        <v>0</v>
      </c>
      <c r="BM51" s="89">
        <f t="shared" si="1"/>
        <v>27.5</v>
      </c>
      <c r="BN51" s="89">
        <f t="shared" si="9"/>
        <v>0</v>
      </c>
      <c r="BO51" s="89">
        <f t="shared" si="10"/>
        <v>0</v>
      </c>
      <c r="BP51" s="89">
        <f t="shared" si="27"/>
        <v>0</v>
      </c>
      <c r="BQ51" s="89">
        <f t="shared" si="2"/>
        <v>20</v>
      </c>
      <c r="BR51" s="89">
        <f t="shared" si="11"/>
        <v>0</v>
      </c>
      <c r="BS51" s="89">
        <f t="shared" si="12"/>
        <v>0</v>
      </c>
      <c r="BT51" s="89">
        <f t="shared" si="28"/>
        <v>0</v>
      </c>
      <c r="BU51" s="89">
        <f t="shared" si="3"/>
        <v>13.75</v>
      </c>
      <c r="BV51" s="89">
        <f t="shared" si="13"/>
        <v>0</v>
      </c>
      <c r="BW51" s="89">
        <f t="shared" si="14"/>
        <v>0</v>
      </c>
      <c r="BX51" s="89">
        <f t="shared" si="29"/>
        <v>0</v>
      </c>
      <c r="BY51" s="89" t="e">
        <f t="shared" si="4"/>
        <v>#REF!</v>
      </c>
      <c r="BZ51" s="89" t="e">
        <f t="shared" si="15"/>
        <v>#REF!</v>
      </c>
      <c r="CA51" s="89" t="e">
        <f t="shared" si="16"/>
        <v>#REF!</v>
      </c>
      <c r="CB51" s="89" t="e">
        <f t="shared" si="30"/>
        <v>#REF!</v>
      </c>
    </row>
    <row r="52" spans="1:80" ht="14.25" hidden="1" customHeight="1">
      <c r="A52" s="93">
        <v>45</v>
      </c>
      <c r="B52" s="107"/>
      <c r="C52" s="107"/>
      <c r="D52" s="105"/>
      <c r="E52" s="77"/>
      <c r="F52" s="77"/>
      <c r="G52" s="77"/>
      <c r="H52" s="77"/>
      <c r="I52" s="95"/>
      <c r="J52" s="95"/>
      <c r="K52" s="106"/>
      <c r="L52" s="106"/>
      <c r="M52" s="106"/>
      <c r="N52" s="106"/>
      <c r="O52" s="95"/>
      <c r="P52" s="105"/>
      <c r="Q52" s="77"/>
      <c r="R52" s="77"/>
      <c r="S52" s="77"/>
      <c r="T52" s="77"/>
      <c r="U52" s="77"/>
      <c r="V52" s="97">
        <f t="shared" si="21"/>
        <v>0</v>
      </c>
      <c r="W52" s="182"/>
      <c r="X52" s="117"/>
      <c r="Y52" s="96"/>
      <c r="Z52" s="117"/>
      <c r="AA52" s="117"/>
      <c r="AB52" s="117"/>
      <c r="AC52" s="96"/>
      <c r="AD52" s="123"/>
      <c r="AE52" s="96"/>
      <c r="AF52" s="123"/>
      <c r="AG52" s="123"/>
      <c r="AH52" s="96"/>
      <c r="AI52" s="96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28"/>
      <c r="AW52" s="126">
        <f t="shared" si="31"/>
        <v>0</v>
      </c>
      <c r="AX52" s="40"/>
      <c r="AY52" s="90"/>
      <c r="AZ52" s="97">
        <f t="shared" si="22"/>
        <v>0</v>
      </c>
      <c r="BA52" s="98"/>
      <c r="BB52" s="97">
        <f t="shared" si="23"/>
        <v>0</v>
      </c>
      <c r="BC52" s="90"/>
      <c r="BD52" s="89">
        <f t="shared" si="24"/>
        <v>0</v>
      </c>
      <c r="BE52" s="98"/>
      <c r="BF52" s="89">
        <f t="shared" si="25"/>
        <v>0</v>
      </c>
      <c r="BG52" s="99"/>
      <c r="BH52" s="66"/>
      <c r="BI52" s="89">
        <f t="shared" si="0"/>
        <v>38.75</v>
      </c>
      <c r="BJ52" s="89">
        <f t="shared" si="7"/>
        <v>0</v>
      </c>
      <c r="BK52" s="89">
        <f t="shared" si="32"/>
        <v>0</v>
      </c>
      <c r="BL52" s="89">
        <f t="shared" si="26"/>
        <v>0</v>
      </c>
      <c r="BM52" s="89">
        <f t="shared" si="1"/>
        <v>27.5</v>
      </c>
      <c r="BN52" s="89">
        <f t="shared" si="9"/>
        <v>0</v>
      </c>
      <c r="BO52" s="89">
        <f t="shared" si="10"/>
        <v>0</v>
      </c>
      <c r="BP52" s="89">
        <f t="shared" si="27"/>
        <v>0</v>
      </c>
      <c r="BQ52" s="89">
        <f t="shared" si="2"/>
        <v>20</v>
      </c>
      <c r="BR52" s="89">
        <f t="shared" si="11"/>
        <v>0</v>
      </c>
      <c r="BS52" s="89">
        <f t="shared" si="12"/>
        <v>0</v>
      </c>
      <c r="BT52" s="89">
        <f t="shared" si="28"/>
        <v>0</v>
      </c>
      <c r="BU52" s="89">
        <f t="shared" si="3"/>
        <v>13.75</v>
      </c>
      <c r="BV52" s="89">
        <f t="shared" si="13"/>
        <v>0</v>
      </c>
      <c r="BW52" s="89">
        <f t="shared" si="14"/>
        <v>0</v>
      </c>
      <c r="BX52" s="89">
        <f t="shared" si="29"/>
        <v>0</v>
      </c>
      <c r="BY52" s="89" t="e">
        <f t="shared" si="4"/>
        <v>#REF!</v>
      </c>
      <c r="BZ52" s="89" t="e">
        <f t="shared" si="15"/>
        <v>#REF!</v>
      </c>
      <c r="CA52" s="89" t="e">
        <f t="shared" si="16"/>
        <v>#REF!</v>
      </c>
      <c r="CB52" s="89" t="e">
        <f t="shared" si="30"/>
        <v>#REF!</v>
      </c>
    </row>
    <row r="53" spans="1:80" ht="14.25" hidden="1" customHeight="1">
      <c r="A53" s="93">
        <v>46</v>
      </c>
      <c r="B53" s="107"/>
      <c r="C53" s="107"/>
      <c r="D53" s="105"/>
      <c r="E53" s="77"/>
      <c r="F53" s="77"/>
      <c r="G53" s="77"/>
      <c r="H53" s="77"/>
      <c r="I53" s="95"/>
      <c r="J53" s="95"/>
      <c r="K53" s="106"/>
      <c r="L53" s="106"/>
      <c r="M53" s="106"/>
      <c r="N53" s="106"/>
      <c r="O53" s="95"/>
      <c r="P53" s="105"/>
      <c r="Q53" s="77"/>
      <c r="R53" s="77"/>
      <c r="S53" s="77"/>
      <c r="T53" s="77"/>
      <c r="U53" s="77"/>
      <c r="V53" s="97">
        <f t="shared" si="21"/>
        <v>0</v>
      </c>
      <c r="W53" s="182"/>
      <c r="X53" s="117"/>
      <c r="Y53" s="96"/>
      <c r="Z53" s="117"/>
      <c r="AA53" s="117"/>
      <c r="AB53" s="117"/>
      <c r="AC53" s="96"/>
      <c r="AD53" s="123"/>
      <c r="AE53" s="96"/>
      <c r="AF53" s="123"/>
      <c r="AG53" s="123"/>
      <c r="AH53" s="96"/>
      <c r="AI53" s="96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28"/>
      <c r="AW53" s="126">
        <f t="shared" si="31"/>
        <v>0</v>
      </c>
      <c r="AX53" s="40"/>
      <c r="AY53" s="90"/>
      <c r="AZ53" s="97">
        <f t="shared" si="22"/>
        <v>0</v>
      </c>
      <c r="BA53" s="98"/>
      <c r="BB53" s="97">
        <f t="shared" si="23"/>
        <v>0</v>
      </c>
      <c r="BC53" s="90"/>
      <c r="BD53" s="89">
        <f t="shared" si="24"/>
        <v>0</v>
      </c>
      <c r="BE53" s="98"/>
      <c r="BF53" s="89">
        <f t="shared" si="25"/>
        <v>0</v>
      </c>
      <c r="BG53" s="99"/>
      <c r="BH53" s="66"/>
      <c r="BI53" s="89">
        <f t="shared" si="0"/>
        <v>38.75</v>
      </c>
      <c r="BJ53" s="89">
        <f t="shared" si="7"/>
        <v>0</v>
      </c>
      <c r="BK53" s="89">
        <f t="shared" si="32"/>
        <v>0</v>
      </c>
      <c r="BL53" s="89">
        <f t="shared" si="26"/>
        <v>0</v>
      </c>
      <c r="BM53" s="89">
        <f t="shared" si="1"/>
        <v>27.5</v>
      </c>
      <c r="BN53" s="89">
        <f t="shared" si="9"/>
        <v>0</v>
      </c>
      <c r="BO53" s="89">
        <f t="shared" si="10"/>
        <v>0</v>
      </c>
      <c r="BP53" s="89">
        <f t="shared" si="27"/>
        <v>0</v>
      </c>
      <c r="BQ53" s="89">
        <f t="shared" si="2"/>
        <v>20</v>
      </c>
      <c r="BR53" s="89">
        <f t="shared" si="11"/>
        <v>0</v>
      </c>
      <c r="BS53" s="89">
        <f t="shared" si="12"/>
        <v>0</v>
      </c>
      <c r="BT53" s="89">
        <f t="shared" si="28"/>
        <v>0</v>
      </c>
      <c r="BU53" s="89">
        <f t="shared" si="3"/>
        <v>13.75</v>
      </c>
      <c r="BV53" s="89">
        <f t="shared" si="13"/>
        <v>0</v>
      </c>
      <c r="BW53" s="89">
        <f t="shared" si="14"/>
        <v>0</v>
      </c>
      <c r="BX53" s="89">
        <f t="shared" si="29"/>
        <v>0</v>
      </c>
      <c r="BY53" s="89" t="e">
        <f t="shared" si="4"/>
        <v>#REF!</v>
      </c>
      <c r="BZ53" s="89" t="e">
        <f t="shared" si="15"/>
        <v>#REF!</v>
      </c>
      <c r="CA53" s="89" t="e">
        <f t="shared" si="16"/>
        <v>#REF!</v>
      </c>
      <c r="CB53" s="89" t="e">
        <f t="shared" si="30"/>
        <v>#REF!</v>
      </c>
    </row>
    <row r="54" spans="1:80" ht="14.25" hidden="1" customHeight="1">
      <c r="A54" s="93">
        <v>47</v>
      </c>
      <c r="B54" s="107"/>
      <c r="C54" s="107"/>
      <c r="D54" s="105"/>
      <c r="E54" s="77"/>
      <c r="F54" s="77"/>
      <c r="G54" s="77"/>
      <c r="H54" s="77"/>
      <c r="I54" s="95"/>
      <c r="J54" s="95"/>
      <c r="K54" s="106"/>
      <c r="L54" s="106"/>
      <c r="M54" s="106"/>
      <c r="N54" s="106"/>
      <c r="O54" s="95"/>
      <c r="P54" s="105"/>
      <c r="Q54" s="77"/>
      <c r="R54" s="77"/>
      <c r="S54" s="77"/>
      <c r="T54" s="77"/>
      <c r="U54" s="77"/>
      <c r="V54" s="97">
        <f t="shared" si="21"/>
        <v>0</v>
      </c>
      <c r="W54" s="182"/>
      <c r="X54" s="117"/>
      <c r="Y54" s="96"/>
      <c r="Z54" s="117"/>
      <c r="AA54" s="117"/>
      <c r="AB54" s="117"/>
      <c r="AC54" s="96"/>
      <c r="AD54" s="123"/>
      <c r="AE54" s="96"/>
      <c r="AF54" s="123"/>
      <c r="AG54" s="123"/>
      <c r="AH54" s="96"/>
      <c r="AI54" s="96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28"/>
      <c r="AW54" s="126">
        <f t="shared" si="31"/>
        <v>0</v>
      </c>
      <c r="AX54" s="40"/>
      <c r="AY54" s="90"/>
      <c r="AZ54" s="97">
        <f t="shared" si="22"/>
        <v>0</v>
      </c>
      <c r="BA54" s="98"/>
      <c r="BB54" s="97">
        <f t="shared" si="23"/>
        <v>0</v>
      </c>
      <c r="BC54" s="90"/>
      <c r="BD54" s="89">
        <f t="shared" si="24"/>
        <v>0</v>
      </c>
      <c r="BE54" s="98"/>
      <c r="BF54" s="89">
        <f t="shared" si="25"/>
        <v>0</v>
      </c>
      <c r="BG54" s="99"/>
      <c r="BH54" s="66"/>
      <c r="BI54" s="89">
        <f t="shared" si="0"/>
        <v>38.75</v>
      </c>
      <c r="BJ54" s="89">
        <f t="shared" si="7"/>
        <v>0</v>
      </c>
      <c r="BK54" s="89">
        <f t="shared" si="32"/>
        <v>0</v>
      </c>
      <c r="BL54" s="89">
        <f t="shared" si="26"/>
        <v>0</v>
      </c>
      <c r="BM54" s="89">
        <f t="shared" si="1"/>
        <v>27.5</v>
      </c>
      <c r="BN54" s="89">
        <f t="shared" si="9"/>
        <v>0</v>
      </c>
      <c r="BO54" s="89">
        <f t="shared" si="10"/>
        <v>0</v>
      </c>
      <c r="BP54" s="89">
        <f t="shared" si="27"/>
        <v>0</v>
      </c>
      <c r="BQ54" s="89">
        <f t="shared" si="2"/>
        <v>20</v>
      </c>
      <c r="BR54" s="89">
        <f t="shared" si="11"/>
        <v>0</v>
      </c>
      <c r="BS54" s="89">
        <f t="shared" si="12"/>
        <v>0</v>
      </c>
      <c r="BT54" s="89">
        <f t="shared" si="28"/>
        <v>0</v>
      </c>
      <c r="BU54" s="89">
        <f t="shared" si="3"/>
        <v>13.75</v>
      </c>
      <c r="BV54" s="89">
        <f t="shared" si="13"/>
        <v>0</v>
      </c>
      <c r="BW54" s="89">
        <f t="shared" si="14"/>
        <v>0</v>
      </c>
      <c r="BX54" s="89">
        <f t="shared" si="29"/>
        <v>0</v>
      </c>
      <c r="BY54" s="89" t="e">
        <f t="shared" si="4"/>
        <v>#REF!</v>
      </c>
      <c r="BZ54" s="89" t="e">
        <f t="shared" si="15"/>
        <v>#REF!</v>
      </c>
      <c r="CA54" s="89" t="e">
        <f t="shared" si="16"/>
        <v>#REF!</v>
      </c>
      <c r="CB54" s="89" t="e">
        <f t="shared" si="30"/>
        <v>#REF!</v>
      </c>
    </row>
    <row r="55" spans="1:80" ht="14.25" hidden="1" customHeight="1">
      <c r="A55" s="93">
        <v>48</v>
      </c>
      <c r="B55" s="107"/>
      <c r="C55" s="107"/>
      <c r="D55" s="105"/>
      <c r="E55" s="77"/>
      <c r="F55" s="77"/>
      <c r="G55" s="77"/>
      <c r="H55" s="77"/>
      <c r="I55" s="95"/>
      <c r="J55" s="95"/>
      <c r="K55" s="106"/>
      <c r="L55" s="106"/>
      <c r="M55" s="106"/>
      <c r="N55" s="106"/>
      <c r="O55" s="95"/>
      <c r="P55" s="105"/>
      <c r="Q55" s="77"/>
      <c r="R55" s="77"/>
      <c r="S55" s="77"/>
      <c r="T55" s="77"/>
      <c r="U55" s="77"/>
      <c r="V55" s="97">
        <f t="shared" si="21"/>
        <v>0</v>
      </c>
      <c r="W55" s="182"/>
      <c r="X55" s="117"/>
      <c r="Y55" s="117"/>
      <c r="Z55" s="117"/>
      <c r="AA55" s="117"/>
      <c r="AB55" s="117"/>
      <c r="AC55" s="123"/>
      <c r="AD55" s="123"/>
      <c r="AE55" s="123"/>
      <c r="AF55" s="123"/>
      <c r="AG55" s="123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28"/>
      <c r="AW55" s="126">
        <f t="shared" si="31"/>
        <v>0</v>
      </c>
      <c r="AX55" s="40"/>
      <c r="AY55" s="90"/>
      <c r="AZ55" s="97">
        <f t="shared" si="22"/>
        <v>0</v>
      </c>
      <c r="BA55" s="98"/>
      <c r="BB55" s="97">
        <f t="shared" si="23"/>
        <v>0</v>
      </c>
      <c r="BC55" s="90"/>
      <c r="BD55" s="89">
        <f t="shared" si="24"/>
        <v>0</v>
      </c>
      <c r="BE55" s="98"/>
      <c r="BF55" s="89">
        <f t="shared" si="25"/>
        <v>0</v>
      </c>
      <c r="BG55" s="99"/>
      <c r="BH55" s="66"/>
      <c r="BI55" s="89">
        <f t="shared" si="0"/>
        <v>38.75</v>
      </c>
      <c r="BJ55" s="89">
        <f t="shared" si="7"/>
        <v>0</v>
      </c>
      <c r="BK55" s="89">
        <f t="shared" si="32"/>
        <v>0</v>
      </c>
      <c r="BL55" s="89">
        <f t="shared" si="26"/>
        <v>0</v>
      </c>
      <c r="BM55" s="89">
        <f t="shared" si="1"/>
        <v>27.5</v>
      </c>
      <c r="BN55" s="89">
        <f t="shared" si="9"/>
        <v>0</v>
      </c>
      <c r="BO55" s="89">
        <f t="shared" si="10"/>
        <v>0</v>
      </c>
      <c r="BP55" s="89">
        <f t="shared" si="27"/>
        <v>0</v>
      </c>
      <c r="BQ55" s="89">
        <f t="shared" si="2"/>
        <v>20</v>
      </c>
      <c r="BR55" s="89">
        <f t="shared" si="11"/>
        <v>0</v>
      </c>
      <c r="BS55" s="89">
        <f t="shared" si="12"/>
        <v>0</v>
      </c>
      <c r="BT55" s="89">
        <f t="shared" si="28"/>
        <v>0</v>
      </c>
      <c r="BU55" s="89">
        <f t="shared" si="3"/>
        <v>13.75</v>
      </c>
      <c r="BV55" s="89">
        <f t="shared" si="13"/>
        <v>0</v>
      </c>
      <c r="BW55" s="89">
        <f t="shared" si="14"/>
        <v>0</v>
      </c>
      <c r="BX55" s="89">
        <f t="shared" si="29"/>
        <v>0</v>
      </c>
      <c r="BY55" s="89" t="e">
        <f t="shared" si="4"/>
        <v>#REF!</v>
      </c>
      <c r="BZ55" s="89" t="e">
        <f t="shared" si="15"/>
        <v>#REF!</v>
      </c>
      <c r="CA55" s="89" t="e">
        <f t="shared" si="16"/>
        <v>#REF!</v>
      </c>
      <c r="CB55" s="89" t="e">
        <f t="shared" si="30"/>
        <v>#REF!</v>
      </c>
    </row>
    <row r="56" spans="1:80" ht="14.25" hidden="1" customHeight="1">
      <c r="A56" s="93">
        <v>49</v>
      </c>
      <c r="B56" s="107"/>
      <c r="C56" s="107"/>
      <c r="D56" s="105"/>
      <c r="E56" s="77"/>
      <c r="F56" s="77"/>
      <c r="G56" s="77"/>
      <c r="H56" s="77"/>
      <c r="I56" s="95"/>
      <c r="J56" s="95"/>
      <c r="K56" s="106"/>
      <c r="L56" s="106"/>
      <c r="M56" s="106"/>
      <c r="N56" s="106"/>
      <c r="O56" s="95"/>
      <c r="P56" s="105"/>
      <c r="Q56" s="77"/>
      <c r="R56" s="77"/>
      <c r="S56" s="77"/>
      <c r="T56" s="77"/>
      <c r="U56" s="77"/>
      <c r="V56" s="97">
        <f t="shared" si="21"/>
        <v>0</v>
      </c>
      <c r="W56" s="182"/>
      <c r="X56" s="117"/>
      <c r="Y56" s="117"/>
      <c r="Z56" s="117"/>
      <c r="AA56" s="117"/>
      <c r="AB56" s="117"/>
      <c r="AC56" s="123"/>
      <c r="AD56" s="123"/>
      <c r="AE56" s="123"/>
      <c r="AF56" s="123"/>
      <c r="AG56" s="123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28"/>
      <c r="AW56" s="126">
        <f t="shared" si="31"/>
        <v>0</v>
      </c>
      <c r="AX56" s="40"/>
      <c r="AY56" s="90"/>
      <c r="AZ56" s="97">
        <f t="shared" si="22"/>
        <v>0</v>
      </c>
      <c r="BA56" s="98"/>
      <c r="BB56" s="97">
        <f t="shared" si="23"/>
        <v>0</v>
      </c>
      <c r="BC56" s="90"/>
      <c r="BD56" s="89">
        <f t="shared" si="24"/>
        <v>0</v>
      </c>
      <c r="BE56" s="98"/>
      <c r="BF56" s="89">
        <f t="shared" si="25"/>
        <v>0</v>
      </c>
      <c r="BG56" s="99"/>
      <c r="BH56" s="66"/>
      <c r="BI56" s="89">
        <f t="shared" si="0"/>
        <v>38.75</v>
      </c>
      <c r="BJ56" s="89">
        <f t="shared" si="7"/>
        <v>0</v>
      </c>
      <c r="BK56" s="89">
        <f t="shared" si="32"/>
        <v>0</v>
      </c>
      <c r="BL56" s="89">
        <f t="shared" si="26"/>
        <v>0</v>
      </c>
      <c r="BM56" s="89">
        <f t="shared" si="1"/>
        <v>27.5</v>
      </c>
      <c r="BN56" s="89">
        <f t="shared" si="9"/>
        <v>0</v>
      </c>
      <c r="BO56" s="89">
        <f t="shared" si="10"/>
        <v>0</v>
      </c>
      <c r="BP56" s="89">
        <f t="shared" si="27"/>
        <v>0</v>
      </c>
      <c r="BQ56" s="89">
        <f t="shared" si="2"/>
        <v>20</v>
      </c>
      <c r="BR56" s="89">
        <f t="shared" si="11"/>
        <v>0</v>
      </c>
      <c r="BS56" s="89">
        <f t="shared" si="12"/>
        <v>0</v>
      </c>
      <c r="BT56" s="89">
        <f t="shared" si="28"/>
        <v>0</v>
      </c>
      <c r="BU56" s="89">
        <f t="shared" si="3"/>
        <v>13.75</v>
      </c>
      <c r="BV56" s="89">
        <f t="shared" si="13"/>
        <v>0</v>
      </c>
      <c r="BW56" s="89">
        <f t="shared" si="14"/>
        <v>0</v>
      </c>
      <c r="BX56" s="89">
        <f t="shared" si="29"/>
        <v>0</v>
      </c>
      <c r="BY56" s="89" t="e">
        <f t="shared" si="4"/>
        <v>#REF!</v>
      </c>
      <c r="BZ56" s="89" t="e">
        <f t="shared" si="15"/>
        <v>#REF!</v>
      </c>
      <c r="CA56" s="89" t="e">
        <f t="shared" si="16"/>
        <v>#REF!</v>
      </c>
      <c r="CB56" s="89" t="e">
        <f t="shared" si="30"/>
        <v>#REF!</v>
      </c>
    </row>
    <row r="57" spans="1:80" ht="14.25" hidden="1" customHeight="1">
      <c r="A57" s="93">
        <v>50</v>
      </c>
      <c r="B57" s="107"/>
      <c r="C57" s="107"/>
      <c r="D57" s="105"/>
      <c r="E57" s="77"/>
      <c r="F57" s="77"/>
      <c r="G57" s="77"/>
      <c r="H57" s="77"/>
      <c r="I57" s="95"/>
      <c r="J57" s="95"/>
      <c r="K57" s="106"/>
      <c r="L57" s="106"/>
      <c r="M57" s="106"/>
      <c r="N57" s="106"/>
      <c r="O57" s="95"/>
      <c r="P57" s="105"/>
      <c r="Q57" s="77"/>
      <c r="R57" s="77"/>
      <c r="S57" s="77"/>
      <c r="T57" s="77"/>
      <c r="U57" s="77"/>
      <c r="V57" s="97">
        <f t="shared" si="21"/>
        <v>0</v>
      </c>
      <c r="W57" s="182"/>
      <c r="X57" s="117"/>
      <c r="Y57" s="117"/>
      <c r="Z57" s="117"/>
      <c r="AA57" s="117"/>
      <c r="AB57" s="117"/>
      <c r="AC57" s="123"/>
      <c r="AD57" s="123"/>
      <c r="AE57" s="123"/>
      <c r="AF57" s="123"/>
      <c r="AG57" s="123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28"/>
      <c r="AW57" s="126">
        <f t="shared" si="31"/>
        <v>0</v>
      </c>
      <c r="AX57" s="40"/>
      <c r="AY57" s="90"/>
      <c r="AZ57" s="97">
        <f t="shared" si="22"/>
        <v>0</v>
      </c>
      <c r="BA57" s="98"/>
      <c r="BB57" s="97">
        <f t="shared" si="23"/>
        <v>0</v>
      </c>
      <c r="BC57" s="90"/>
      <c r="BD57" s="89">
        <f t="shared" si="24"/>
        <v>0</v>
      </c>
      <c r="BE57" s="98"/>
      <c r="BF57" s="89">
        <f t="shared" si="25"/>
        <v>0</v>
      </c>
      <c r="BG57" s="99"/>
      <c r="BH57" s="66"/>
      <c r="BI57" s="89">
        <f t="shared" si="0"/>
        <v>38.75</v>
      </c>
      <c r="BJ57" s="89">
        <f t="shared" si="7"/>
        <v>0</v>
      </c>
      <c r="BK57" s="89">
        <f t="shared" si="32"/>
        <v>0</v>
      </c>
      <c r="BL57" s="89">
        <f t="shared" si="26"/>
        <v>0</v>
      </c>
      <c r="BM57" s="89">
        <f t="shared" si="1"/>
        <v>27.5</v>
      </c>
      <c r="BN57" s="89">
        <f t="shared" si="9"/>
        <v>0</v>
      </c>
      <c r="BO57" s="89">
        <f t="shared" si="10"/>
        <v>0</v>
      </c>
      <c r="BP57" s="89">
        <f t="shared" si="27"/>
        <v>0</v>
      </c>
      <c r="BQ57" s="89">
        <f t="shared" si="2"/>
        <v>20</v>
      </c>
      <c r="BR57" s="89">
        <f t="shared" si="11"/>
        <v>0</v>
      </c>
      <c r="BS57" s="89">
        <f t="shared" si="12"/>
        <v>0</v>
      </c>
      <c r="BT57" s="89">
        <f t="shared" si="28"/>
        <v>0</v>
      </c>
      <c r="BU57" s="89">
        <f t="shared" si="3"/>
        <v>13.75</v>
      </c>
      <c r="BV57" s="89">
        <f t="shared" si="13"/>
        <v>0</v>
      </c>
      <c r="BW57" s="89">
        <f t="shared" si="14"/>
        <v>0</v>
      </c>
      <c r="BX57" s="89">
        <f t="shared" si="29"/>
        <v>0</v>
      </c>
      <c r="BY57" s="89" t="e">
        <f t="shared" si="4"/>
        <v>#REF!</v>
      </c>
      <c r="BZ57" s="89" t="e">
        <f t="shared" si="15"/>
        <v>#REF!</v>
      </c>
      <c r="CA57" s="89" t="e">
        <f t="shared" si="16"/>
        <v>#REF!</v>
      </c>
      <c r="CB57" s="89" t="e">
        <f t="shared" si="30"/>
        <v>#REF!</v>
      </c>
    </row>
    <row r="58" spans="1:80" ht="14.25" hidden="1" customHeight="1">
      <c r="A58" s="93">
        <v>51</v>
      </c>
      <c r="B58" s="107"/>
      <c r="C58" s="107"/>
      <c r="D58" s="105"/>
      <c r="E58" s="77"/>
      <c r="F58" s="77"/>
      <c r="G58" s="77"/>
      <c r="H58" s="77"/>
      <c r="I58" s="95"/>
      <c r="J58" s="95"/>
      <c r="K58" s="106"/>
      <c r="L58" s="106"/>
      <c r="M58" s="106"/>
      <c r="N58" s="106"/>
      <c r="O58" s="95"/>
      <c r="P58" s="105"/>
      <c r="Q58" s="77"/>
      <c r="R58" s="77"/>
      <c r="S58" s="77"/>
      <c r="T58" s="77"/>
      <c r="U58" s="77"/>
      <c r="V58" s="97">
        <f t="shared" si="21"/>
        <v>0</v>
      </c>
      <c r="W58" s="182"/>
      <c r="X58" s="117"/>
      <c r="Y58" s="117"/>
      <c r="Z58" s="117"/>
      <c r="AA58" s="117"/>
      <c r="AB58" s="117"/>
      <c r="AC58" s="123"/>
      <c r="AD58" s="123"/>
      <c r="AE58" s="123"/>
      <c r="AF58" s="123"/>
      <c r="AG58" s="123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28"/>
      <c r="AW58" s="126">
        <f t="shared" si="31"/>
        <v>0</v>
      </c>
      <c r="AX58" s="40"/>
      <c r="AY58" s="90"/>
      <c r="AZ58" s="97">
        <f t="shared" si="22"/>
        <v>0</v>
      </c>
      <c r="BA58" s="98"/>
      <c r="BB58" s="97">
        <f t="shared" si="23"/>
        <v>0</v>
      </c>
      <c r="BC58" s="90"/>
      <c r="BD58" s="89">
        <f t="shared" si="24"/>
        <v>0</v>
      </c>
      <c r="BE58" s="98"/>
      <c r="BF58" s="89">
        <f t="shared" si="25"/>
        <v>0</v>
      </c>
      <c r="BG58" s="99"/>
      <c r="BH58" s="66"/>
      <c r="BI58" s="89">
        <f t="shared" si="0"/>
        <v>38.75</v>
      </c>
      <c r="BJ58" s="89">
        <f t="shared" si="7"/>
        <v>0</v>
      </c>
      <c r="BK58" s="89">
        <f t="shared" si="32"/>
        <v>0</v>
      </c>
      <c r="BL58" s="89">
        <f t="shared" si="26"/>
        <v>0</v>
      </c>
      <c r="BM58" s="89">
        <f t="shared" si="1"/>
        <v>27.5</v>
      </c>
      <c r="BN58" s="89">
        <f t="shared" si="9"/>
        <v>0</v>
      </c>
      <c r="BO58" s="89">
        <f t="shared" si="10"/>
        <v>0</v>
      </c>
      <c r="BP58" s="89">
        <f t="shared" si="27"/>
        <v>0</v>
      </c>
      <c r="BQ58" s="89">
        <f t="shared" si="2"/>
        <v>20</v>
      </c>
      <c r="BR58" s="89">
        <f t="shared" si="11"/>
        <v>0</v>
      </c>
      <c r="BS58" s="89">
        <f t="shared" si="12"/>
        <v>0</v>
      </c>
      <c r="BT58" s="89">
        <f t="shared" si="28"/>
        <v>0</v>
      </c>
      <c r="BU58" s="89">
        <f t="shared" si="3"/>
        <v>13.75</v>
      </c>
      <c r="BV58" s="89">
        <f t="shared" si="13"/>
        <v>0</v>
      </c>
      <c r="BW58" s="89">
        <f t="shared" si="14"/>
        <v>0</v>
      </c>
      <c r="BX58" s="89">
        <f t="shared" si="29"/>
        <v>0</v>
      </c>
      <c r="BY58" s="89" t="e">
        <f t="shared" si="4"/>
        <v>#REF!</v>
      </c>
      <c r="BZ58" s="89" t="e">
        <f t="shared" si="15"/>
        <v>#REF!</v>
      </c>
      <c r="CA58" s="89" t="e">
        <f t="shared" si="16"/>
        <v>#REF!</v>
      </c>
      <c r="CB58" s="89" t="e">
        <f t="shared" si="30"/>
        <v>#REF!</v>
      </c>
    </row>
    <row r="59" spans="1:80" ht="14.25" hidden="1" customHeight="1">
      <c r="A59" s="93">
        <v>52</v>
      </c>
      <c r="B59" s="107"/>
      <c r="C59" s="107"/>
      <c r="D59" s="105"/>
      <c r="E59" s="77"/>
      <c r="F59" s="77"/>
      <c r="G59" s="77"/>
      <c r="H59" s="77"/>
      <c r="I59" s="95"/>
      <c r="J59" s="95"/>
      <c r="K59" s="106"/>
      <c r="L59" s="106"/>
      <c r="M59" s="106"/>
      <c r="N59" s="106"/>
      <c r="O59" s="95"/>
      <c r="P59" s="105"/>
      <c r="Q59" s="77"/>
      <c r="R59" s="77"/>
      <c r="S59" s="77"/>
      <c r="T59" s="77"/>
      <c r="U59" s="77"/>
      <c r="V59" s="97">
        <f t="shared" si="21"/>
        <v>0</v>
      </c>
      <c r="W59" s="182"/>
      <c r="X59" s="117"/>
      <c r="Y59" s="117"/>
      <c r="Z59" s="117"/>
      <c r="AA59" s="117"/>
      <c r="AB59" s="117"/>
      <c r="AC59" s="123"/>
      <c r="AD59" s="123"/>
      <c r="AE59" s="123"/>
      <c r="AF59" s="123"/>
      <c r="AG59" s="123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28"/>
      <c r="AW59" s="126">
        <f t="shared" si="31"/>
        <v>0</v>
      </c>
      <c r="AX59" s="40"/>
      <c r="AY59" s="90"/>
      <c r="AZ59" s="97">
        <f t="shared" si="22"/>
        <v>0</v>
      </c>
      <c r="BA59" s="98"/>
      <c r="BB59" s="97">
        <f t="shared" si="23"/>
        <v>0</v>
      </c>
      <c r="BC59" s="90"/>
      <c r="BD59" s="89">
        <f t="shared" si="24"/>
        <v>0</v>
      </c>
      <c r="BE59" s="98"/>
      <c r="BF59" s="89">
        <f t="shared" si="25"/>
        <v>0</v>
      </c>
      <c r="BG59" s="99"/>
      <c r="BH59" s="66"/>
      <c r="BI59" s="89">
        <f t="shared" si="0"/>
        <v>38.75</v>
      </c>
      <c r="BJ59" s="89">
        <f t="shared" si="7"/>
        <v>0</v>
      </c>
      <c r="BK59" s="89">
        <f t="shared" si="32"/>
        <v>0</v>
      </c>
      <c r="BL59" s="89">
        <f t="shared" si="26"/>
        <v>0</v>
      </c>
      <c r="BM59" s="89">
        <f t="shared" si="1"/>
        <v>27.5</v>
      </c>
      <c r="BN59" s="89">
        <f t="shared" si="9"/>
        <v>0</v>
      </c>
      <c r="BO59" s="89">
        <f t="shared" si="10"/>
        <v>0</v>
      </c>
      <c r="BP59" s="89">
        <f t="shared" si="27"/>
        <v>0</v>
      </c>
      <c r="BQ59" s="89">
        <f t="shared" si="2"/>
        <v>20</v>
      </c>
      <c r="BR59" s="89">
        <f t="shared" si="11"/>
        <v>0</v>
      </c>
      <c r="BS59" s="89">
        <f t="shared" si="12"/>
        <v>0</v>
      </c>
      <c r="BT59" s="89">
        <f t="shared" si="28"/>
        <v>0</v>
      </c>
      <c r="BU59" s="89">
        <f t="shared" si="3"/>
        <v>13.75</v>
      </c>
      <c r="BV59" s="89">
        <f t="shared" si="13"/>
        <v>0</v>
      </c>
      <c r="BW59" s="89">
        <f t="shared" si="14"/>
        <v>0</v>
      </c>
      <c r="BX59" s="89">
        <f t="shared" si="29"/>
        <v>0</v>
      </c>
      <c r="BY59" s="89" t="e">
        <f t="shared" si="4"/>
        <v>#REF!</v>
      </c>
      <c r="BZ59" s="89" t="e">
        <f t="shared" si="15"/>
        <v>#REF!</v>
      </c>
      <c r="CA59" s="89" t="e">
        <f t="shared" si="16"/>
        <v>#REF!</v>
      </c>
      <c r="CB59" s="89" t="e">
        <f t="shared" si="30"/>
        <v>#REF!</v>
      </c>
    </row>
    <row r="60" spans="1:80" ht="14.25" hidden="1" customHeight="1">
      <c r="A60" s="93">
        <v>53</v>
      </c>
      <c r="B60" s="107"/>
      <c r="C60" s="107"/>
      <c r="D60" s="105"/>
      <c r="E60" s="77"/>
      <c r="F60" s="77"/>
      <c r="G60" s="77"/>
      <c r="H60" s="77"/>
      <c r="I60" s="95"/>
      <c r="J60" s="95"/>
      <c r="K60" s="106"/>
      <c r="L60" s="106"/>
      <c r="M60" s="106"/>
      <c r="N60" s="106"/>
      <c r="O60" s="95"/>
      <c r="P60" s="105"/>
      <c r="Q60" s="77"/>
      <c r="R60" s="77"/>
      <c r="S60" s="77"/>
      <c r="T60" s="77"/>
      <c r="U60" s="77"/>
      <c r="V60" s="97">
        <f t="shared" si="21"/>
        <v>0</v>
      </c>
      <c r="W60" s="182"/>
      <c r="X60" s="117"/>
      <c r="Y60" s="117"/>
      <c r="Z60" s="117"/>
      <c r="AA60" s="117"/>
      <c r="AB60" s="117"/>
      <c r="AC60" s="123"/>
      <c r="AD60" s="123"/>
      <c r="AE60" s="123"/>
      <c r="AF60" s="123"/>
      <c r="AG60" s="123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28"/>
      <c r="AW60" s="126">
        <f t="shared" si="31"/>
        <v>0</v>
      </c>
      <c r="AX60" s="40"/>
      <c r="AY60" s="90"/>
      <c r="AZ60" s="97">
        <f t="shared" si="22"/>
        <v>0</v>
      </c>
      <c r="BA60" s="98"/>
      <c r="BB60" s="97">
        <f t="shared" si="23"/>
        <v>0</v>
      </c>
      <c r="BC60" s="90"/>
      <c r="BD60" s="89">
        <f t="shared" si="24"/>
        <v>0</v>
      </c>
      <c r="BE60" s="98"/>
      <c r="BF60" s="89">
        <f t="shared" si="25"/>
        <v>0</v>
      </c>
      <c r="BG60" s="99"/>
      <c r="BH60" s="66"/>
      <c r="BI60" s="89">
        <f t="shared" si="0"/>
        <v>38.75</v>
      </c>
      <c r="BJ60" s="89">
        <f t="shared" si="7"/>
        <v>0</v>
      </c>
      <c r="BK60" s="89">
        <f t="shared" si="32"/>
        <v>0</v>
      </c>
      <c r="BL60" s="89">
        <f t="shared" si="26"/>
        <v>0</v>
      </c>
      <c r="BM60" s="89">
        <f t="shared" si="1"/>
        <v>27.5</v>
      </c>
      <c r="BN60" s="89">
        <f t="shared" si="9"/>
        <v>0</v>
      </c>
      <c r="BO60" s="89">
        <f t="shared" si="10"/>
        <v>0</v>
      </c>
      <c r="BP60" s="89">
        <f t="shared" si="27"/>
        <v>0</v>
      </c>
      <c r="BQ60" s="89">
        <f t="shared" si="2"/>
        <v>20</v>
      </c>
      <c r="BR60" s="89">
        <f t="shared" si="11"/>
        <v>0</v>
      </c>
      <c r="BS60" s="89">
        <f t="shared" si="12"/>
        <v>0</v>
      </c>
      <c r="BT60" s="89">
        <f t="shared" si="28"/>
        <v>0</v>
      </c>
      <c r="BU60" s="89">
        <f t="shared" si="3"/>
        <v>13.75</v>
      </c>
      <c r="BV60" s="89">
        <f t="shared" si="13"/>
        <v>0</v>
      </c>
      <c r="BW60" s="89">
        <f t="shared" si="14"/>
        <v>0</v>
      </c>
      <c r="BX60" s="89">
        <f t="shared" si="29"/>
        <v>0</v>
      </c>
      <c r="BY60" s="89" t="e">
        <f t="shared" si="4"/>
        <v>#REF!</v>
      </c>
      <c r="BZ60" s="89" t="e">
        <f t="shared" si="15"/>
        <v>#REF!</v>
      </c>
      <c r="CA60" s="89" t="e">
        <f t="shared" si="16"/>
        <v>#REF!</v>
      </c>
      <c r="CB60" s="89" t="e">
        <f t="shared" si="30"/>
        <v>#REF!</v>
      </c>
    </row>
    <row r="61" spans="1:80" ht="14.25" hidden="1" customHeight="1">
      <c r="A61" s="93">
        <v>54</v>
      </c>
      <c r="B61" s="107"/>
      <c r="C61" s="107"/>
      <c r="D61" s="105"/>
      <c r="E61" s="77"/>
      <c r="F61" s="77"/>
      <c r="G61" s="77"/>
      <c r="H61" s="77"/>
      <c r="I61" s="95"/>
      <c r="J61" s="95"/>
      <c r="K61" s="106"/>
      <c r="L61" s="106"/>
      <c r="M61" s="106"/>
      <c r="N61" s="106"/>
      <c r="O61" s="95"/>
      <c r="P61" s="105"/>
      <c r="Q61" s="77"/>
      <c r="R61" s="77"/>
      <c r="S61" s="77"/>
      <c r="T61" s="77"/>
      <c r="U61" s="77"/>
      <c r="V61" s="97">
        <f t="shared" si="21"/>
        <v>0</v>
      </c>
      <c r="W61" s="182"/>
      <c r="X61" s="117"/>
      <c r="Y61" s="117"/>
      <c r="Z61" s="117"/>
      <c r="AA61" s="117"/>
      <c r="AB61" s="117"/>
      <c r="AC61" s="123"/>
      <c r="AD61" s="123"/>
      <c r="AE61" s="123"/>
      <c r="AF61" s="123"/>
      <c r="AG61" s="123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28"/>
      <c r="AW61" s="126">
        <f t="shared" si="31"/>
        <v>0</v>
      </c>
      <c r="AX61" s="40"/>
      <c r="AY61" s="90"/>
      <c r="AZ61" s="97">
        <f t="shared" si="22"/>
        <v>0</v>
      </c>
      <c r="BA61" s="98"/>
      <c r="BB61" s="97">
        <f t="shared" si="23"/>
        <v>0</v>
      </c>
      <c r="BC61" s="90"/>
      <c r="BD61" s="89">
        <f t="shared" si="24"/>
        <v>0</v>
      </c>
      <c r="BE61" s="98"/>
      <c r="BF61" s="89">
        <f t="shared" si="25"/>
        <v>0</v>
      </c>
      <c r="BG61" s="99"/>
      <c r="BH61" s="66"/>
      <c r="BI61" s="89">
        <f t="shared" si="0"/>
        <v>38.75</v>
      </c>
      <c r="BJ61" s="89">
        <f t="shared" si="7"/>
        <v>0</v>
      </c>
      <c r="BK61" s="89">
        <f t="shared" si="32"/>
        <v>0</v>
      </c>
      <c r="BL61" s="89">
        <f t="shared" si="26"/>
        <v>0</v>
      </c>
      <c r="BM61" s="89">
        <f t="shared" si="1"/>
        <v>27.5</v>
      </c>
      <c r="BN61" s="89">
        <f t="shared" si="9"/>
        <v>0</v>
      </c>
      <c r="BO61" s="89">
        <f t="shared" si="10"/>
        <v>0</v>
      </c>
      <c r="BP61" s="89">
        <f t="shared" si="27"/>
        <v>0</v>
      </c>
      <c r="BQ61" s="89">
        <f t="shared" si="2"/>
        <v>20</v>
      </c>
      <c r="BR61" s="89">
        <f t="shared" si="11"/>
        <v>0</v>
      </c>
      <c r="BS61" s="89">
        <f t="shared" si="12"/>
        <v>0</v>
      </c>
      <c r="BT61" s="89">
        <f t="shared" si="28"/>
        <v>0</v>
      </c>
      <c r="BU61" s="89">
        <f t="shared" si="3"/>
        <v>13.75</v>
      </c>
      <c r="BV61" s="89">
        <f t="shared" si="13"/>
        <v>0</v>
      </c>
      <c r="BW61" s="89">
        <f t="shared" si="14"/>
        <v>0</v>
      </c>
      <c r="BX61" s="89">
        <f t="shared" si="29"/>
        <v>0</v>
      </c>
      <c r="BY61" s="89" t="e">
        <f t="shared" si="4"/>
        <v>#REF!</v>
      </c>
      <c r="BZ61" s="89" t="e">
        <f t="shared" si="15"/>
        <v>#REF!</v>
      </c>
      <c r="CA61" s="89" t="e">
        <f t="shared" si="16"/>
        <v>#REF!</v>
      </c>
      <c r="CB61" s="89" t="e">
        <f t="shared" si="30"/>
        <v>#REF!</v>
      </c>
    </row>
    <row r="62" spans="1:80" ht="14.25" hidden="1" customHeight="1">
      <c r="A62" s="93">
        <v>55</v>
      </c>
      <c r="B62" s="107"/>
      <c r="C62" s="107"/>
      <c r="D62" s="105"/>
      <c r="E62" s="77"/>
      <c r="F62" s="77"/>
      <c r="G62" s="77"/>
      <c r="H62" s="77"/>
      <c r="I62" s="95"/>
      <c r="J62" s="95"/>
      <c r="K62" s="106"/>
      <c r="L62" s="106"/>
      <c r="M62" s="106"/>
      <c r="N62" s="106"/>
      <c r="O62" s="95"/>
      <c r="P62" s="105"/>
      <c r="Q62" s="77"/>
      <c r="R62" s="77"/>
      <c r="S62" s="77"/>
      <c r="T62" s="77"/>
      <c r="U62" s="77"/>
      <c r="V62" s="97">
        <f t="shared" si="21"/>
        <v>0</v>
      </c>
      <c r="W62" s="182"/>
      <c r="X62" s="117"/>
      <c r="Y62" s="117"/>
      <c r="Z62" s="117"/>
      <c r="AA62" s="117"/>
      <c r="AB62" s="117"/>
      <c r="AC62" s="123"/>
      <c r="AD62" s="123"/>
      <c r="AE62" s="123"/>
      <c r="AF62" s="123"/>
      <c r="AG62" s="123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28"/>
      <c r="AW62" s="126">
        <f t="shared" si="31"/>
        <v>0</v>
      </c>
      <c r="AX62" s="40"/>
      <c r="AY62" s="90"/>
      <c r="AZ62" s="97">
        <f t="shared" si="22"/>
        <v>0</v>
      </c>
      <c r="BA62" s="98"/>
      <c r="BB62" s="97">
        <f t="shared" si="23"/>
        <v>0</v>
      </c>
      <c r="BC62" s="90"/>
      <c r="BD62" s="89">
        <f t="shared" si="24"/>
        <v>0</v>
      </c>
      <c r="BE62" s="98"/>
      <c r="BF62" s="89">
        <f t="shared" si="25"/>
        <v>0</v>
      </c>
      <c r="BG62" s="99"/>
      <c r="BH62" s="66"/>
      <c r="BI62" s="89">
        <f t="shared" si="0"/>
        <v>38.75</v>
      </c>
      <c r="BJ62" s="89">
        <f t="shared" si="7"/>
        <v>0</v>
      </c>
      <c r="BK62" s="89">
        <f t="shared" si="32"/>
        <v>0</v>
      </c>
      <c r="BL62" s="89">
        <f t="shared" si="26"/>
        <v>0</v>
      </c>
      <c r="BM62" s="89">
        <f t="shared" si="1"/>
        <v>27.5</v>
      </c>
      <c r="BN62" s="89">
        <f t="shared" si="9"/>
        <v>0</v>
      </c>
      <c r="BO62" s="89">
        <f t="shared" si="10"/>
        <v>0</v>
      </c>
      <c r="BP62" s="89">
        <f t="shared" si="27"/>
        <v>0</v>
      </c>
      <c r="BQ62" s="89">
        <f t="shared" si="2"/>
        <v>20</v>
      </c>
      <c r="BR62" s="89">
        <f t="shared" si="11"/>
        <v>0</v>
      </c>
      <c r="BS62" s="89">
        <f t="shared" si="12"/>
        <v>0</v>
      </c>
      <c r="BT62" s="89">
        <f t="shared" si="28"/>
        <v>0</v>
      </c>
      <c r="BU62" s="89">
        <f t="shared" si="3"/>
        <v>13.75</v>
      </c>
      <c r="BV62" s="89">
        <f t="shared" si="13"/>
        <v>0</v>
      </c>
      <c r="BW62" s="89">
        <f t="shared" si="14"/>
        <v>0</v>
      </c>
      <c r="BX62" s="89">
        <f t="shared" si="29"/>
        <v>0</v>
      </c>
      <c r="BY62" s="89" t="e">
        <f t="shared" si="4"/>
        <v>#REF!</v>
      </c>
      <c r="BZ62" s="89" t="e">
        <f t="shared" si="15"/>
        <v>#REF!</v>
      </c>
      <c r="CA62" s="89" t="e">
        <f t="shared" si="16"/>
        <v>#REF!</v>
      </c>
      <c r="CB62" s="89" t="e">
        <f t="shared" si="30"/>
        <v>#REF!</v>
      </c>
    </row>
    <row r="63" spans="1:80" ht="14.25" hidden="1" customHeight="1">
      <c r="A63" s="93">
        <v>56</v>
      </c>
      <c r="B63" s="107"/>
      <c r="C63" s="107"/>
      <c r="D63" s="105"/>
      <c r="E63" s="77"/>
      <c r="F63" s="77"/>
      <c r="G63" s="77"/>
      <c r="H63" s="77"/>
      <c r="I63" s="95"/>
      <c r="J63" s="95"/>
      <c r="K63" s="106"/>
      <c r="L63" s="106"/>
      <c r="M63" s="106"/>
      <c r="N63" s="106"/>
      <c r="O63" s="95"/>
      <c r="P63" s="105"/>
      <c r="Q63" s="77"/>
      <c r="R63" s="77"/>
      <c r="S63" s="77"/>
      <c r="T63" s="77"/>
      <c r="U63" s="77"/>
      <c r="V63" s="97">
        <f t="shared" si="21"/>
        <v>0</v>
      </c>
      <c r="W63" s="182"/>
      <c r="X63" s="117"/>
      <c r="Y63" s="117"/>
      <c r="Z63" s="117"/>
      <c r="AA63" s="117"/>
      <c r="AB63" s="117"/>
      <c r="AC63" s="123"/>
      <c r="AD63" s="123"/>
      <c r="AE63" s="123"/>
      <c r="AF63" s="123"/>
      <c r="AG63" s="123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28"/>
      <c r="AW63" s="126">
        <f t="shared" si="31"/>
        <v>0</v>
      </c>
      <c r="AX63" s="40"/>
      <c r="AY63" s="90"/>
      <c r="AZ63" s="97">
        <f t="shared" si="22"/>
        <v>0</v>
      </c>
      <c r="BA63" s="98"/>
      <c r="BB63" s="97">
        <f t="shared" si="23"/>
        <v>0</v>
      </c>
      <c r="BC63" s="90"/>
      <c r="BD63" s="89">
        <f t="shared" si="24"/>
        <v>0</v>
      </c>
      <c r="BE63" s="98"/>
      <c r="BF63" s="89">
        <f t="shared" si="25"/>
        <v>0</v>
      </c>
      <c r="BG63" s="99"/>
      <c r="BH63" s="66"/>
      <c r="BI63" s="89">
        <f t="shared" si="0"/>
        <v>38.75</v>
      </c>
      <c r="BJ63" s="89">
        <f t="shared" si="7"/>
        <v>0</v>
      </c>
      <c r="BK63" s="89">
        <f t="shared" si="32"/>
        <v>0</v>
      </c>
      <c r="BL63" s="89">
        <f t="shared" si="26"/>
        <v>0</v>
      </c>
      <c r="BM63" s="89">
        <f t="shared" si="1"/>
        <v>27.5</v>
      </c>
      <c r="BN63" s="89">
        <f t="shared" si="9"/>
        <v>0</v>
      </c>
      <c r="BO63" s="89">
        <f t="shared" si="10"/>
        <v>0</v>
      </c>
      <c r="BP63" s="89">
        <f t="shared" si="27"/>
        <v>0</v>
      </c>
      <c r="BQ63" s="89">
        <f t="shared" si="2"/>
        <v>20</v>
      </c>
      <c r="BR63" s="89">
        <f t="shared" si="11"/>
        <v>0</v>
      </c>
      <c r="BS63" s="89">
        <f t="shared" si="12"/>
        <v>0</v>
      </c>
      <c r="BT63" s="89">
        <f t="shared" si="28"/>
        <v>0</v>
      </c>
      <c r="BU63" s="89">
        <f t="shared" si="3"/>
        <v>13.75</v>
      </c>
      <c r="BV63" s="89">
        <f t="shared" si="13"/>
        <v>0</v>
      </c>
      <c r="BW63" s="89">
        <f t="shared" si="14"/>
        <v>0</v>
      </c>
      <c r="BX63" s="89">
        <f t="shared" si="29"/>
        <v>0</v>
      </c>
      <c r="BY63" s="89" t="e">
        <f t="shared" si="4"/>
        <v>#REF!</v>
      </c>
      <c r="BZ63" s="89" t="e">
        <f t="shared" si="15"/>
        <v>#REF!</v>
      </c>
      <c r="CA63" s="89" t="e">
        <f t="shared" si="16"/>
        <v>#REF!</v>
      </c>
      <c r="CB63" s="89" t="e">
        <f t="shared" si="30"/>
        <v>#REF!</v>
      </c>
    </row>
    <row r="64" spans="1:80" ht="14.25" hidden="1" customHeight="1">
      <c r="A64" s="93">
        <v>57</v>
      </c>
      <c r="B64" s="107"/>
      <c r="C64" s="107"/>
      <c r="D64" s="105"/>
      <c r="E64" s="77"/>
      <c r="F64" s="77"/>
      <c r="G64" s="77"/>
      <c r="H64" s="77"/>
      <c r="I64" s="95"/>
      <c r="J64" s="95"/>
      <c r="K64" s="106"/>
      <c r="L64" s="106"/>
      <c r="M64" s="106"/>
      <c r="N64" s="106"/>
      <c r="O64" s="95"/>
      <c r="P64" s="105"/>
      <c r="Q64" s="77"/>
      <c r="R64" s="77"/>
      <c r="S64" s="77"/>
      <c r="T64" s="77"/>
      <c r="U64" s="77"/>
      <c r="V64" s="97">
        <f t="shared" si="21"/>
        <v>0</v>
      </c>
      <c r="W64" s="182"/>
      <c r="X64" s="117"/>
      <c r="Y64" s="117"/>
      <c r="Z64" s="117"/>
      <c r="AA64" s="117"/>
      <c r="AB64" s="117"/>
      <c r="AC64" s="123"/>
      <c r="AD64" s="123"/>
      <c r="AE64" s="123"/>
      <c r="AF64" s="123"/>
      <c r="AG64" s="123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28"/>
      <c r="AW64" s="126">
        <f t="shared" si="31"/>
        <v>0</v>
      </c>
      <c r="AX64" s="40"/>
      <c r="AY64" s="90"/>
      <c r="AZ64" s="97">
        <f t="shared" si="22"/>
        <v>0</v>
      </c>
      <c r="BA64" s="98"/>
      <c r="BB64" s="97">
        <f t="shared" si="23"/>
        <v>0</v>
      </c>
      <c r="BC64" s="90"/>
      <c r="BD64" s="89">
        <f t="shared" si="24"/>
        <v>0</v>
      </c>
      <c r="BE64" s="98"/>
      <c r="BF64" s="89">
        <f t="shared" si="25"/>
        <v>0</v>
      </c>
      <c r="BG64" s="99"/>
      <c r="BH64" s="66"/>
      <c r="BI64" s="89">
        <f t="shared" si="0"/>
        <v>38.75</v>
      </c>
      <c r="BJ64" s="89">
        <f t="shared" si="7"/>
        <v>0</v>
      </c>
      <c r="BK64" s="89">
        <f t="shared" si="32"/>
        <v>0</v>
      </c>
      <c r="BL64" s="89">
        <f t="shared" si="26"/>
        <v>0</v>
      </c>
      <c r="BM64" s="89">
        <f t="shared" si="1"/>
        <v>27.5</v>
      </c>
      <c r="BN64" s="89">
        <f t="shared" si="9"/>
        <v>0</v>
      </c>
      <c r="BO64" s="89">
        <f t="shared" si="10"/>
        <v>0</v>
      </c>
      <c r="BP64" s="89">
        <f t="shared" si="27"/>
        <v>0</v>
      </c>
      <c r="BQ64" s="89">
        <f t="shared" si="2"/>
        <v>20</v>
      </c>
      <c r="BR64" s="89">
        <f t="shared" si="11"/>
        <v>0</v>
      </c>
      <c r="BS64" s="89">
        <f t="shared" si="12"/>
        <v>0</v>
      </c>
      <c r="BT64" s="89">
        <f t="shared" si="28"/>
        <v>0</v>
      </c>
      <c r="BU64" s="89">
        <f t="shared" si="3"/>
        <v>13.75</v>
      </c>
      <c r="BV64" s="89">
        <f t="shared" si="13"/>
        <v>0</v>
      </c>
      <c r="BW64" s="89">
        <f t="shared" si="14"/>
        <v>0</v>
      </c>
      <c r="BX64" s="89">
        <f t="shared" si="29"/>
        <v>0</v>
      </c>
      <c r="BY64" s="89" t="e">
        <f t="shared" si="4"/>
        <v>#REF!</v>
      </c>
      <c r="BZ64" s="89" t="e">
        <f t="shared" si="15"/>
        <v>#REF!</v>
      </c>
      <c r="CA64" s="89" t="e">
        <f t="shared" si="16"/>
        <v>#REF!</v>
      </c>
      <c r="CB64" s="89" t="e">
        <f t="shared" si="30"/>
        <v>#REF!</v>
      </c>
    </row>
    <row r="65" spans="1:80" ht="14.25" hidden="1" customHeight="1">
      <c r="A65" s="93">
        <v>58</v>
      </c>
      <c r="B65" s="107"/>
      <c r="C65" s="107"/>
      <c r="D65" s="105"/>
      <c r="E65" s="77"/>
      <c r="F65" s="77"/>
      <c r="G65" s="77"/>
      <c r="H65" s="77"/>
      <c r="I65" s="95"/>
      <c r="J65" s="95"/>
      <c r="K65" s="106"/>
      <c r="L65" s="106"/>
      <c r="M65" s="106"/>
      <c r="N65" s="106"/>
      <c r="O65" s="95"/>
      <c r="P65" s="105"/>
      <c r="Q65" s="77"/>
      <c r="R65" s="77"/>
      <c r="S65" s="77"/>
      <c r="T65" s="77"/>
      <c r="U65" s="77"/>
      <c r="V65" s="97">
        <f t="shared" si="21"/>
        <v>0</v>
      </c>
      <c r="W65" s="182"/>
      <c r="X65" s="117"/>
      <c r="Y65" s="117"/>
      <c r="Z65" s="117"/>
      <c r="AA65" s="117"/>
      <c r="AB65" s="117"/>
      <c r="AC65" s="123"/>
      <c r="AD65" s="123"/>
      <c r="AE65" s="123"/>
      <c r="AF65" s="123"/>
      <c r="AG65" s="123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23"/>
      <c r="AT65" s="117"/>
      <c r="AU65" s="117"/>
      <c r="AV65" s="128"/>
      <c r="AW65" s="126">
        <f t="shared" si="31"/>
        <v>0</v>
      </c>
      <c r="AX65" s="40"/>
      <c r="AY65" s="90"/>
      <c r="AZ65" s="97">
        <f t="shared" si="22"/>
        <v>0</v>
      </c>
      <c r="BA65" s="98"/>
      <c r="BB65" s="97">
        <f t="shared" si="23"/>
        <v>0</v>
      </c>
      <c r="BC65" s="90"/>
      <c r="BD65" s="89">
        <f t="shared" si="24"/>
        <v>0</v>
      </c>
      <c r="BE65" s="98"/>
      <c r="BF65" s="89">
        <f t="shared" si="25"/>
        <v>0</v>
      </c>
      <c r="BG65" s="99"/>
      <c r="BH65" s="66"/>
      <c r="BI65" s="89">
        <f t="shared" si="0"/>
        <v>38.75</v>
      </c>
      <c r="BJ65" s="89">
        <f t="shared" si="7"/>
        <v>0</v>
      </c>
      <c r="BK65" s="89">
        <f t="shared" si="32"/>
        <v>0</v>
      </c>
      <c r="BL65" s="89">
        <f t="shared" si="26"/>
        <v>0</v>
      </c>
      <c r="BM65" s="89">
        <f t="shared" si="1"/>
        <v>27.5</v>
      </c>
      <c r="BN65" s="89">
        <f t="shared" si="9"/>
        <v>0</v>
      </c>
      <c r="BO65" s="89">
        <f t="shared" si="10"/>
        <v>0</v>
      </c>
      <c r="BP65" s="89">
        <f t="shared" si="27"/>
        <v>0</v>
      </c>
      <c r="BQ65" s="89">
        <f t="shared" si="2"/>
        <v>20</v>
      </c>
      <c r="BR65" s="89">
        <f t="shared" si="11"/>
        <v>0</v>
      </c>
      <c r="BS65" s="89">
        <f t="shared" si="12"/>
        <v>0</v>
      </c>
      <c r="BT65" s="89">
        <f t="shared" si="28"/>
        <v>0</v>
      </c>
      <c r="BU65" s="89">
        <f t="shared" si="3"/>
        <v>13.75</v>
      </c>
      <c r="BV65" s="89">
        <f t="shared" si="13"/>
        <v>0</v>
      </c>
      <c r="BW65" s="89">
        <f t="shared" si="14"/>
        <v>0</v>
      </c>
      <c r="BX65" s="89">
        <f t="shared" si="29"/>
        <v>0</v>
      </c>
      <c r="BY65" s="89" t="e">
        <f t="shared" si="4"/>
        <v>#REF!</v>
      </c>
      <c r="BZ65" s="89" t="e">
        <f t="shared" si="15"/>
        <v>#REF!</v>
      </c>
      <c r="CA65" s="89" t="e">
        <f t="shared" si="16"/>
        <v>#REF!</v>
      </c>
      <c r="CB65" s="89" t="e">
        <f t="shared" si="30"/>
        <v>#REF!</v>
      </c>
    </row>
    <row r="66" spans="1:80" ht="14.25" hidden="1" customHeight="1">
      <c r="A66" s="93">
        <v>59</v>
      </c>
      <c r="B66" s="107"/>
      <c r="C66" s="107"/>
      <c r="D66" s="105"/>
      <c r="E66" s="77"/>
      <c r="F66" s="77"/>
      <c r="G66" s="77"/>
      <c r="H66" s="77"/>
      <c r="I66" s="95"/>
      <c r="J66" s="95"/>
      <c r="K66" s="106"/>
      <c r="L66" s="106"/>
      <c r="M66" s="106"/>
      <c r="N66" s="106"/>
      <c r="O66" s="95"/>
      <c r="P66" s="105"/>
      <c r="Q66" s="77"/>
      <c r="R66" s="77"/>
      <c r="S66" s="77"/>
      <c r="T66" s="77"/>
      <c r="U66" s="77"/>
      <c r="V66" s="97">
        <f t="shared" si="21"/>
        <v>0</v>
      </c>
      <c r="W66" s="182"/>
      <c r="X66" s="117"/>
      <c r="Y66" s="117"/>
      <c r="Z66" s="117"/>
      <c r="AA66" s="117"/>
      <c r="AB66" s="117"/>
      <c r="AC66" s="123"/>
      <c r="AD66" s="123"/>
      <c r="AE66" s="123"/>
      <c r="AF66" s="123"/>
      <c r="AG66" s="123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23"/>
      <c r="AT66" s="117"/>
      <c r="AU66" s="117"/>
      <c r="AV66" s="128"/>
      <c r="AW66" s="126">
        <f t="shared" si="31"/>
        <v>0</v>
      </c>
      <c r="AX66" s="40"/>
      <c r="AY66" s="90"/>
      <c r="AZ66" s="97">
        <f t="shared" si="22"/>
        <v>0</v>
      </c>
      <c r="BA66" s="98"/>
      <c r="BB66" s="97">
        <f t="shared" si="23"/>
        <v>0</v>
      </c>
      <c r="BC66" s="90"/>
      <c r="BD66" s="89">
        <f t="shared" si="24"/>
        <v>0</v>
      </c>
      <c r="BE66" s="98"/>
      <c r="BF66" s="89">
        <f t="shared" si="25"/>
        <v>0</v>
      </c>
      <c r="BG66" s="99"/>
      <c r="BH66" s="66"/>
      <c r="BI66" s="89">
        <f t="shared" si="0"/>
        <v>38.75</v>
      </c>
      <c r="BJ66" s="89">
        <f t="shared" si="7"/>
        <v>0</v>
      </c>
      <c r="BK66" s="89">
        <f t="shared" si="32"/>
        <v>0</v>
      </c>
      <c r="BL66" s="89">
        <f t="shared" si="26"/>
        <v>0</v>
      </c>
      <c r="BM66" s="89">
        <f t="shared" si="1"/>
        <v>27.5</v>
      </c>
      <c r="BN66" s="89">
        <f t="shared" si="9"/>
        <v>0</v>
      </c>
      <c r="BO66" s="89">
        <f t="shared" si="10"/>
        <v>0</v>
      </c>
      <c r="BP66" s="89">
        <f t="shared" si="27"/>
        <v>0</v>
      </c>
      <c r="BQ66" s="89">
        <f t="shared" si="2"/>
        <v>20</v>
      </c>
      <c r="BR66" s="89">
        <f t="shared" si="11"/>
        <v>0</v>
      </c>
      <c r="BS66" s="89">
        <f t="shared" si="12"/>
        <v>0</v>
      </c>
      <c r="BT66" s="89">
        <f t="shared" si="28"/>
        <v>0</v>
      </c>
      <c r="BU66" s="89">
        <f t="shared" si="3"/>
        <v>13.75</v>
      </c>
      <c r="BV66" s="89">
        <f t="shared" si="13"/>
        <v>0</v>
      </c>
      <c r="BW66" s="89">
        <f t="shared" si="14"/>
        <v>0</v>
      </c>
      <c r="BX66" s="89">
        <f t="shared" si="29"/>
        <v>0</v>
      </c>
      <c r="BY66" s="89" t="e">
        <f t="shared" si="4"/>
        <v>#REF!</v>
      </c>
      <c r="BZ66" s="89" t="e">
        <f t="shared" si="15"/>
        <v>#REF!</v>
      </c>
      <c r="CA66" s="89" t="e">
        <f t="shared" si="16"/>
        <v>#REF!</v>
      </c>
      <c r="CB66" s="89" t="e">
        <f t="shared" si="30"/>
        <v>#REF!</v>
      </c>
    </row>
    <row r="67" spans="1:80" ht="14.25" hidden="1" customHeight="1">
      <c r="A67" s="93">
        <v>60</v>
      </c>
      <c r="B67" s="107"/>
      <c r="C67" s="107"/>
      <c r="D67" s="105"/>
      <c r="E67" s="77"/>
      <c r="F67" s="77"/>
      <c r="G67" s="77"/>
      <c r="H67" s="77"/>
      <c r="I67" s="95"/>
      <c r="J67" s="95"/>
      <c r="K67" s="106"/>
      <c r="L67" s="106"/>
      <c r="M67" s="106"/>
      <c r="N67" s="106"/>
      <c r="O67" s="95"/>
      <c r="P67" s="105"/>
      <c r="Q67" s="77"/>
      <c r="R67" s="77"/>
      <c r="S67" s="77"/>
      <c r="T67" s="77"/>
      <c r="U67" s="77"/>
      <c r="V67" s="97">
        <f t="shared" si="21"/>
        <v>0</v>
      </c>
      <c r="W67" s="182"/>
      <c r="X67" s="117"/>
      <c r="Y67" s="117"/>
      <c r="Z67" s="117"/>
      <c r="AA67" s="117"/>
      <c r="AB67" s="117"/>
      <c r="AC67" s="123"/>
      <c r="AD67" s="123"/>
      <c r="AE67" s="123"/>
      <c r="AF67" s="123"/>
      <c r="AG67" s="123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23"/>
      <c r="AT67" s="117"/>
      <c r="AU67" s="117"/>
      <c r="AV67" s="128"/>
      <c r="AW67" s="126">
        <f t="shared" si="31"/>
        <v>0</v>
      </c>
      <c r="AX67" s="40"/>
      <c r="AY67" s="90"/>
      <c r="AZ67" s="97">
        <f t="shared" ref="AZ67:AZ98" si="33">SUM(D67:H67)</f>
        <v>0</v>
      </c>
      <c r="BA67" s="98"/>
      <c r="BB67" s="97">
        <f t="shared" ref="BB67:BB98" si="34">SUM(I67:O67)</f>
        <v>0</v>
      </c>
      <c r="BC67" s="90"/>
      <c r="BD67" s="89">
        <f t="shared" si="24"/>
        <v>0</v>
      </c>
      <c r="BE67" s="98"/>
      <c r="BF67" s="89">
        <f t="shared" ref="BF67:BF98" si="35">SUM(T67:U67)</f>
        <v>0</v>
      </c>
      <c r="BG67" s="99"/>
      <c r="BH67" s="66"/>
      <c r="BI67" s="89">
        <f t="shared" si="0"/>
        <v>38.75</v>
      </c>
      <c r="BJ67" s="89">
        <f t="shared" si="7"/>
        <v>0</v>
      </c>
      <c r="BK67" s="89">
        <f t="shared" si="32"/>
        <v>0</v>
      </c>
      <c r="BL67" s="89">
        <f t="shared" si="26"/>
        <v>0</v>
      </c>
      <c r="BM67" s="89">
        <f t="shared" si="1"/>
        <v>27.5</v>
      </c>
      <c r="BN67" s="89">
        <f t="shared" si="9"/>
        <v>0</v>
      </c>
      <c r="BO67" s="89">
        <f t="shared" si="10"/>
        <v>0</v>
      </c>
      <c r="BP67" s="89">
        <f t="shared" si="27"/>
        <v>0</v>
      </c>
      <c r="BQ67" s="89">
        <f t="shared" si="2"/>
        <v>20</v>
      </c>
      <c r="BR67" s="89">
        <f t="shared" si="11"/>
        <v>0</v>
      </c>
      <c r="BS67" s="89">
        <f t="shared" si="12"/>
        <v>0</v>
      </c>
      <c r="BT67" s="89">
        <f t="shared" si="28"/>
        <v>0</v>
      </c>
      <c r="BU67" s="89">
        <f t="shared" si="3"/>
        <v>13.75</v>
      </c>
      <c r="BV67" s="89">
        <f t="shared" si="13"/>
        <v>0</v>
      </c>
      <c r="BW67" s="89">
        <f t="shared" si="14"/>
        <v>0</v>
      </c>
      <c r="BX67" s="89">
        <f t="shared" si="29"/>
        <v>0</v>
      </c>
      <c r="BY67" s="89" t="e">
        <f t="shared" si="4"/>
        <v>#REF!</v>
      </c>
      <c r="BZ67" s="89" t="e">
        <f t="shared" si="15"/>
        <v>#REF!</v>
      </c>
      <c r="CA67" s="89" t="e">
        <f t="shared" si="16"/>
        <v>#REF!</v>
      </c>
      <c r="CB67" s="89" t="e">
        <f t="shared" si="30"/>
        <v>#REF!</v>
      </c>
    </row>
    <row r="68" spans="1:80" ht="14.25" hidden="1" customHeight="1">
      <c r="A68" s="93">
        <v>61</v>
      </c>
      <c r="B68" s="107"/>
      <c r="C68" s="107"/>
      <c r="D68" s="105"/>
      <c r="E68" s="77"/>
      <c r="F68" s="77"/>
      <c r="G68" s="77"/>
      <c r="H68" s="77"/>
      <c r="I68" s="95"/>
      <c r="J68" s="95"/>
      <c r="K68" s="106"/>
      <c r="L68" s="106"/>
      <c r="M68" s="106"/>
      <c r="N68" s="106"/>
      <c r="O68" s="95"/>
      <c r="P68" s="105"/>
      <c r="Q68" s="77"/>
      <c r="R68" s="77"/>
      <c r="S68" s="77"/>
      <c r="T68" s="77"/>
      <c r="U68" s="77"/>
      <c r="V68" s="97">
        <f t="shared" si="21"/>
        <v>0</v>
      </c>
      <c r="W68" s="182"/>
      <c r="X68" s="117"/>
      <c r="Y68" s="117"/>
      <c r="Z68" s="117"/>
      <c r="AA68" s="117"/>
      <c r="AB68" s="117"/>
      <c r="AC68" s="123"/>
      <c r="AD68" s="123"/>
      <c r="AE68" s="123"/>
      <c r="AF68" s="123"/>
      <c r="AG68" s="123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23"/>
      <c r="AT68" s="117"/>
      <c r="AU68" s="117"/>
      <c r="AV68" s="128"/>
      <c r="AW68" s="126">
        <f t="shared" si="31"/>
        <v>0</v>
      </c>
      <c r="AX68" s="40"/>
      <c r="AY68" s="90"/>
      <c r="AZ68" s="97">
        <f t="shared" si="33"/>
        <v>0</v>
      </c>
      <c r="BA68" s="98"/>
      <c r="BB68" s="97">
        <f t="shared" si="34"/>
        <v>0</v>
      </c>
      <c r="BC68" s="90"/>
      <c r="BD68" s="89">
        <f t="shared" si="24"/>
        <v>0</v>
      </c>
      <c r="BE68" s="98"/>
      <c r="BF68" s="89">
        <f t="shared" si="35"/>
        <v>0</v>
      </c>
      <c r="BG68" s="99"/>
      <c r="BH68" s="66"/>
      <c r="BI68" s="89">
        <f t="shared" si="0"/>
        <v>38.75</v>
      </c>
      <c r="BJ68" s="89">
        <f t="shared" si="7"/>
        <v>0</v>
      </c>
      <c r="BK68" s="89">
        <f t="shared" si="32"/>
        <v>0</v>
      </c>
      <c r="BL68" s="89">
        <f t="shared" si="26"/>
        <v>0</v>
      </c>
      <c r="BM68" s="89">
        <f t="shared" si="1"/>
        <v>27.5</v>
      </c>
      <c r="BN68" s="89">
        <f t="shared" si="9"/>
        <v>0</v>
      </c>
      <c r="BO68" s="89">
        <f t="shared" si="10"/>
        <v>0</v>
      </c>
      <c r="BP68" s="89">
        <f t="shared" si="27"/>
        <v>0</v>
      </c>
      <c r="BQ68" s="89">
        <f t="shared" si="2"/>
        <v>20</v>
      </c>
      <c r="BR68" s="89">
        <f t="shared" si="11"/>
        <v>0</v>
      </c>
      <c r="BS68" s="89">
        <f t="shared" si="12"/>
        <v>0</v>
      </c>
      <c r="BT68" s="89">
        <f t="shared" si="28"/>
        <v>0</v>
      </c>
      <c r="BU68" s="89">
        <f t="shared" si="3"/>
        <v>13.75</v>
      </c>
      <c r="BV68" s="89">
        <f t="shared" si="13"/>
        <v>0</v>
      </c>
      <c r="BW68" s="89">
        <f t="shared" si="14"/>
        <v>0</v>
      </c>
      <c r="BX68" s="89">
        <f t="shared" si="29"/>
        <v>0</v>
      </c>
      <c r="BY68" s="89" t="e">
        <f t="shared" si="4"/>
        <v>#REF!</v>
      </c>
      <c r="BZ68" s="89" t="e">
        <f t="shared" si="15"/>
        <v>#REF!</v>
      </c>
      <c r="CA68" s="89" t="e">
        <f t="shared" si="16"/>
        <v>#REF!</v>
      </c>
      <c r="CB68" s="89" t="e">
        <f t="shared" si="30"/>
        <v>#REF!</v>
      </c>
    </row>
    <row r="69" spans="1:80" ht="14.25" hidden="1" customHeight="1">
      <c r="A69" s="93">
        <v>62</v>
      </c>
      <c r="B69" s="107"/>
      <c r="C69" s="107"/>
      <c r="D69" s="105"/>
      <c r="E69" s="77"/>
      <c r="F69" s="77"/>
      <c r="G69" s="77"/>
      <c r="H69" s="77"/>
      <c r="I69" s="95"/>
      <c r="J69" s="95"/>
      <c r="K69" s="106"/>
      <c r="L69" s="106"/>
      <c r="M69" s="106"/>
      <c r="N69" s="106"/>
      <c r="O69" s="95"/>
      <c r="P69" s="105"/>
      <c r="Q69" s="77"/>
      <c r="R69" s="77"/>
      <c r="S69" s="77"/>
      <c r="T69" s="77"/>
      <c r="U69" s="77"/>
      <c r="V69" s="97">
        <f t="shared" si="21"/>
        <v>0</v>
      </c>
      <c r="W69" s="182"/>
      <c r="X69" s="117"/>
      <c r="Y69" s="117"/>
      <c r="Z69" s="117"/>
      <c r="AA69" s="117"/>
      <c r="AB69" s="117"/>
      <c r="AC69" s="123"/>
      <c r="AD69" s="123"/>
      <c r="AE69" s="123"/>
      <c r="AF69" s="123"/>
      <c r="AG69" s="123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23"/>
      <c r="AT69" s="117"/>
      <c r="AU69" s="117"/>
      <c r="AV69" s="128"/>
      <c r="AW69" s="126">
        <f t="shared" si="31"/>
        <v>0</v>
      </c>
      <c r="AX69" s="40"/>
      <c r="AY69" s="90"/>
      <c r="AZ69" s="97">
        <f t="shared" si="33"/>
        <v>0</v>
      </c>
      <c r="BA69" s="98"/>
      <c r="BB69" s="97">
        <f t="shared" si="34"/>
        <v>0</v>
      </c>
      <c r="BC69" s="90"/>
      <c r="BD69" s="89">
        <f t="shared" si="24"/>
        <v>0</v>
      </c>
      <c r="BE69" s="98"/>
      <c r="BF69" s="89">
        <f t="shared" si="35"/>
        <v>0</v>
      </c>
      <c r="BG69" s="99"/>
      <c r="BH69" s="66"/>
      <c r="BI69" s="89">
        <f t="shared" si="0"/>
        <v>38.75</v>
      </c>
      <c r="BJ69" s="89">
        <f t="shared" si="7"/>
        <v>0</v>
      </c>
      <c r="BK69" s="89">
        <f t="shared" si="32"/>
        <v>0</v>
      </c>
      <c r="BL69" s="89">
        <f t="shared" si="26"/>
        <v>0</v>
      </c>
      <c r="BM69" s="89">
        <f t="shared" si="1"/>
        <v>27.5</v>
      </c>
      <c r="BN69" s="89">
        <f t="shared" si="9"/>
        <v>0</v>
      </c>
      <c r="BO69" s="89">
        <f t="shared" si="10"/>
        <v>0</v>
      </c>
      <c r="BP69" s="89">
        <f t="shared" si="27"/>
        <v>0</v>
      </c>
      <c r="BQ69" s="89">
        <f t="shared" si="2"/>
        <v>20</v>
      </c>
      <c r="BR69" s="89">
        <f t="shared" si="11"/>
        <v>0</v>
      </c>
      <c r="BS69" s="89">
        <f t="shared" si="12"/>
        <v>0</v>
      </c>
      <c r="BT69" s="89">
        <f t="shared" si="28"/>
        <v>0</v>
      </c>
      <c r="BU69" s="89">
        <f t="shared" si="3"/>
        <v>13.75</v>
      </c>
      <c r="BV69" s="89">
        <f t="shared" si="13"/>
        <v>0</v>
      </c>
      <c r="BW69" s="89">
        <f t="shared" si="14"/>
        <v>0</v>
      </c>
      <c r="BX69" s="89">
        <f t="shared" si="29"/>
        <v>0</v>
      </c>
      <c r="BY69" s="89" t="e">
        <f t="shared" si="4"/>
        <v>#REF!</v>
      </c>
      <c r="BZ69" s="89" t="e">
        <f t="shared" si="15"/>
        <v>#REF!</v>
      </c>
      <c r="CA69" s="89" t="e">
        <f t="shared" si="16"/>
        <v>#REF!</v>
      </c>
      <c r="CB69" s="89" t="e">
        <f t="shared" si="30"/>
        <v>#REF!</v>
      </c>
    </row>
    <row r="70" spans="1:80" ht="14.25" hidden="1" customHeight="1">
      <c r="A70" s="93">
        <v>63</v>
      </c>
      <c r="B70" s="107"/>
      <c r="C70" s="107"/>
      <c r="D70" s="105"/>
      <c r="E70" s="77"/>
      <c r="F70" s="77"/>
      <c r="G70" s="77"/>
      <c r="H70" s="77"/>
      <c r="I70" s="95"/>
      <c r="J70" s="95"/>
      <c r="K70" s="106"/>
      <c r="L70" s="106"/>
      <c r="M70" s="106"/>
      <c r="N70" s="106"/>
      <c r="O70" s="95"/>
      <c r="P70" s="105"/>
      <c r="Q70" s="77"/>
      <c r="R70" s="77"/>
      <c r="S70" s="77"/>
      <c r="T70" s="77"/>
      <c r="U70" s="77"/>
      <c r="V70" s="97">
        <f t="shared" si="21"/>
        <v>0</v>
      </c>
      <c r="W70" s="182"/>
      <c r="X70" s="117"/>
      <c r="Y70" s="117"/>
      <c r="Z70" s="117"/>
      <c r="AA70" s="117"/>
      <c r="AB70" s="117"/>
      <c r="AC70" s="123"/>
      <c r="AD70" s="123"/>
      <c r="AE70" s="123"/>
      <c r="AF70" s="123"/>
      <c r="AG70" s="123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23"/>
      <c r="AT70" s="117"/>
      <c r="AU70" s="117"/>
      <c r="AV70" s="128"/>
      <c r="AW70" s="126">
        <f t="shared" si="31"/>
        <v>0</v>
      </c>
      <c r="AX70" s="40"/>
      <c r="AY70" s="90"/>
      <c r="AZ70" s="97">
        <f t="shared" si="33"/>
        <v>0</v>
      </c>
      <c r="BA70" s="98"/>
      <c r="BB70" s="97">
        <f t="shared" si="34"/>
        <v>0</v>
      </c>
      <c r="BC70" s="90"/>
      <c r="BD70" s="89">
        <f t="shared" si="24"/>
        <v>0</v>
      </c>
      <c r="BE70" s="98"/>
      <c r="BF70" s="89">
        <f t="shared" si="35"/>
        <v>0</v>
      </c>
      <c r="BG70" s="99"/>
      <c r="BH70" s="66"/>
      <c r="BI70" s="89">
        <f t="shared" si="0"/>
        <v>38.75</v>
      </c>
      <c r="BJ70" s="89">
        <f t="shared" si="7"/>
        <v>0</v>
      </c>
      <c r="BK70" s="89">
        <f t="shared" si="32"/>
        <v>0</v>
      </c>
      <c r="BL70" s="89">
        <f t="shared" si="26"/>
        <v>0</v>
      </c>
      <c r="BM70" s="89">
        <f t="shared" si="1"/>
        <v>27.5</v>
      </c>
      <c r="BN70" s="89">
        <f t="shared" si="9"/>
        <v>0</v>
      </c>
      <c r="BO70" s="89">
        <f t="shared" si="10"/>
        <v>0</v>
      </c>
      <c r="BP70" s="89">
        <f t="shared" si="27"/>
        <v>0</v>
      </c>
      <c r="BQ70" s="89">
        <f t="shared" si="2"/>
        <v>20</v>
      </c>
      <c r="BR70" s="89">
        <f t="shared" si="11"/>
        <v>0</v>
      </c>
      <c r="BS70" s="89">
        <f t="shared" si="12"/>
        <v>0</v>
      </c>
      <c r="BT70" s="89">
        <f t="shared" si="28"/>
        <v>0</v>
      </c>
      <c r="BU70" s="89">
        <f t="shared" si="3"/>
        <v>13.75</v>
      </c>
      <c r="BV70" s="89">
        <f t="shared" si="13"/>
        <v>0</v>
      </c>
      <c r="BW70" s="89">
        <f t="shared" si="14"/>
        <v>0</v>
      </c>
      <c r="BX70" s="89">
        <f t="shared" si="29"/>
        <v>0</v>
      </c>
      <c r="BY70" s="89" t="e">
        <f t="shared" si="4"/>
        <v>#REF!</v>
      </c>
      <c r="BZ70" s="89" t="e">
        <f t="shared" si="15"/>
        <v>#REF!</v>
      </c>
      <c r="CA70" s="89" t="e">
        <f t="shared" si="16"/>
        <v>#REF!</v>
      </c>
      <c r="CB70" s="89" t="e">
        <f t="shared" si="30"/>
        <v>#REF!</v>
      </c>
    </row>
    <row r="71" spans="1:80" ht="14.25" hidden="1" customHeight="1">
      <c r="A71" s="93">
        <v>64</v>
      </c>
      <c r="B71" s="108"/>
      <c r="C71" s="108"/>
      <c r="D71" s="105"/>
      <c r="E71" s="77"/>
      <c r="F71" s="77"/>
      <c r="G71" s="77"/>
      <c r="H71" s="77"/>
      <c r="I71" s="95"/>
      <c r="J71" s="95"/>
      <c r="K71" s="106"/>
      <c r="L71" s="106"/>
      <c r="M71" s="106"/>
      <c r="N71" s="106"/>
      <c r="O71" s="95"/>
      <c r="P71" s="105"/>
      <c r="Q71" s="77"/>
      <c r="R71" s="77"/>
      <c r="S71" s="77"/>
      <c r="T71" s="77"/>
      <c r="U71" s="77"/>
      <c r="V71" s="97">
        <f t="shared" si="21"/>
        <v>0</v>
      </c>
      <c r="W71" s="182"/>
      <c r="X71" s="117"/>
      <c r="Y71" s="117"/>
      <c r="Z71" s="117"/>
      <c r="AA71" s="117"/>
      <c r="AB71" s="117"/>
      <c r="AC71" s="123"/>
      <c r="AD71" s="123"/>
      <c r="AE71" s="123"/>
      <c r="AF71" s="123"/>
      <c r="AG71" s="123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23"/>
      <c r="AT71" s="117"/>
      <c r="AU71" s="117"/>
      <c r="AV71" s="128"/>
      <c r="AW71" s="126">
        <f t="shared" si="31"/>
        <v>0</v>
      </c>
      <c r="AX71" s="40"/>
      <c r="AY71" s="90"/>
      <c r="AZ71" s="97">
        <f t="shared" si="33"/>
        <v>0</v>
      </c>
      <c r="BA71" s="98"/>
      <c r="BB71" s="97">
        <f t="shared" si="34"/>
        <v>0</v>
      </c>
      <c r="BC71" s="90"/>
      <c r="BD71" s="89">
        <f t="shared" si="24"/>
        <v>0</v>
      </c>
      <c r="BE71" s="98"/>
      <c r="BF71" s="89">
        <f t="shared" si="35"/>
        <v>0</v>
      </c>
      <c r="BG71" s="99"/>
      <c r="BH71" s="66"/>
      <c r="BI71" s="89">
        <f t="shared" si="0"/>
        <v>38.75</v>
      </c>
      <c r="BJ71" s="89">
        <f t="shared" si="7"/>
        <v>0</v>
      </c>
      <c r="BK71" s="89">
        <f t="shared" si="32"/>
        <v>0</v>
      </c>
      <c r="BL71" s="89">
        <f t="shared" si="26"/>
        <v>0</v>
      </c>
      <c r="BM71" s="89">
        <f t="shared" si="1"/>
        <v>27.5</v>
      </c>
      <c r="BN71" s="89">
        <f t="shared" si="9"/>
        <v>0</v>
      </c>
      <c r="BO71" s="89">
        <f t="shared" si="10"/>
        <v>0</v>
      </c>
      <c r="BP71" s="89">
        <f t="shared" si="27"/>
        <v>0</v>
      </c>
      <c r="BQ71" s="89">
        <f t="shared" si="2"/>
        <v>20</v>
      </c>
      <c r="BR71" s="89">
        <f t="shared" si="11"/>
        <v>0</v>
      </c>
      <c r="BS71" s="89">
        <f t="shared" si="12"/>
        <v>0</v>
      </c>
      <c r="BT71" s="89">
        <f t="shared" si="28"/>
        <v>0</v>
      </c>
      <c r="BU71" s="89">
        <f t="shared" si="3"/>
        <v>13.75</v>
      </c>
      <c r="BV71" s="89">
        <f t="shared" si="13"/>
        <v>0</v>
      </c>
      <c r="BW71" s="89">
        <f t="shared" si="14"/>
        <v>0</v>
      </c>
      <c r="BX71" s="89">
        <f t="shared" si="29"/>
        <v>0</v>
      </c>
      <c r="BY71" s="89" t="e">
        <f t="shared" si="4"/>
        <v>#REF!</v>
      </c>
      <c r="BZ71" s="89" t="e">
        <f t="shared" si="15"/>
        <v>#REF!</v>
      </c>
      <c r="CA71" s="89" t="e">
        <f t="shared" si="16"/>
        <v>#REF!</v>
      </c>
      <c r="CB71" s="89" t="e">
        <f t="shared" si="30"/>
        <v>#REF!</v>
      </c>
    </row>
    <row r="72" spans="1:80" ht="14.25" hidden="1" customHeight="1">
      <c r="A72" s="93">
        <v>65</v>
      </c>
      <c r="B72" s="107"/>
      <c r="C72" s="107"/>
      <c r="D72" s="105"/>
      <c r="E72" s="77"/>
      <c r="F72" s="77"/>
      <c r="G72" s="77"/>
      <c r="H72" s="77"/>
      <c r="I72" s="95"/>
      <c r="J72" s="95"/>
      <c r="K72" s="106"/>
      <c r="L72" s="106"/>
      <c r="M72" s="106"/>
      <c r="N72" s="106"/>
      <c r="O72" s="95"/>
      <c r="P72" s="105"/>
      <c r="Q72" s="77"/>
      <c r="R72" s="77"/>
      <c r="S72" s="77"/>
      <c r="T72" s="77"/>
      <c r="U72" s="77"/>
      <c r="V72" s="97">
        <f t="shared" si="21"/>
        <v>0</v>
      </c>
      <c r="W72" s="182"/>
      <c r="X72" s="117"/>
      <c r="Y72" s="117"/>
      <c r="Z72" s="117"/>
      <c r="AA72" s="117"/>
      <c r="AB72" s="117"/>
      <c r="AC72" s="123"/>
      <c r="AD72" s="123"/>
      <c r="AE72" s="123"/>
      <c r="AF72" s="123"/>
      <c r="AG72" s="123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23"/>
      <c r="AT72" s="117"/>
      <c r="AU72" s="117"/>
      <c r="AV72" s="128"/>
      <c r="AW72" s="126">
        <f t="shared" si="31"/>
        <v>0</v>
      </c>
      <c r="AX72" s="40"/>
      <c r="AY72" s="90"/>
      <c r="AZ72" s="97">
        <f t="shared" si="33"/>
        <v>0</v>
      </c>
      <c r="BA72" s="98"/>
      <c r="BB72" s="97">
        <f t="shared" si="34"/>
        <v>0</v>
      </c>
      <c r="BC72" s="90"/>
      <c r="BD72" s="89">
        <f t="shared" ref="BD72:BD135" si="36">SUM(P72:S72)</f>
        <v>0</v>
      </c>
      <c r="BE72" s="98"/>
      <c r="BF72" s="89">
        <f t="shared" si="35"/>
        <v>0</v>
      </c>
      <c r="BG72" s="99"/>
      <c r="BH72" s="66"/>
      <c r="BI72" s="89">
        <f t="shared" si="0"/>
        <v>38.75</v>
      </c>
      <c r="BJ72" s="89">
        <f t="shared" si="7"/>
        <v>0</v>
      </c>
      <c r="BK72" s="89">
        <f t="shared" si="32"/>
        <v>0</v>
      </c>
      <c r="BL72" s="89">
        <f t="shared" si="26"/>
        <v>0</v>
      </c>
      <c r="BM72" s="89">
        <f t="shared" si="1"/>
        <v>27.5</v>
      </c>
      <c r="BN72" s="89">
        <f t="shared" si="9"/>
        <v>0</v>
      </c>
      <c r="BO72" s="89">
        <f t="shared" si="10"/>
        <v>0</v>
      </c>
      <c r="BP72" s="89">
        <f t="shared" si="27"/>
        <v>0</v>
      </c>
      <c r="BQ72" s="89">
        <f t="shared" si="2"/>
        <v>20</v>
      </c>
      <c r="BR72" s="89">
        <f t="shared" si="11"/>
        <v>0</v>
      </c>
      <c r="BS72" s="89">
        <f t="shared" si="12"/>
        <v>0</v>
      </c>
      <c r="BT72" s="89">
        <f t="shared" si="28"/>
        <v>0</v>
      </c>
      <c r="BU72" s="89">
        <f t="shared" si="3"/>
        <v>13.75</v>
      </c>
      <c r="BV72" s="89">
        <f t="shared" si="13"/>
        <v>0</v>
      </c>
      <c r="BW72" s="89">
        <f t="shared" si="14"/>
        <v>0</v>
      </c>
      <c r="BX72" s="89">
        <f t="shared" si="29"/>
        <v>0</v>
      </c>
      <c r="BY72" s="89" t="e">
        <f t="shared" si="4"/>
        <v>#REF!</v>
      </c>
      <c r="BZ72" s="89" t="e">
        <f t="shared" si="15"/>
        <v>#REF!</v>
      </c>
      <c r="CA72" s="89" t="e">
        <f t="shared" si="16"/>
        <v>#REF!</v>
      </c>
      <c r="CB72" s="89" t="e">
        <f t="shared" si="30"/>
        <v>#REF!</v>
      </c>
    </row>
    <row r="73" spans="1:80" ht="14.25" hidden="1" customHeight="1">
      <c r="A73" s="93">
        <v>66</v>
      </c>
      <c r="B73" s="107"/>
      <c r="C73" s="107"/>
      <c r="D73" s="105"/>
      <c r="E73" s="77"/>
      <c r="F73" s="77"/>
      <c r="G73" s="77"/>
      <c r="H73" s="77"/>
      <c r="I73" s="95"/>
      <c r="J73" s="95"/>
      <c r="K73" s="106"/>
      <c r="L73" s="106"/>
      <c r="M73" s="106"/>
      <c r="N73" s="106"/>
      <c r="O73" s="95"/>
      <c r="P73" s="105"/>
      <c r="Q73" s="77"/>
      <c r="R73" s="77"/>
      <c r="S73" s="77"/>
      <c r="T73" s="77"/>
      <c r="U73" s="77"/>
      <c r="V73" s="97">
        <f t="shared" si="21"/>
        <v>0</v>
      </c>
      <c r="W73" s="182"/>
      <c r="X73" s="117"/>
      <c r="Y73" s="117"/>
      <c r="Z73" s="117"/>
      <c r="AA73" s="117"/>
      <c r="AB73" s="117"/>
      <c r="AC73" s="123"/>
      <c r="AD73" s="123"/>
      <c r="AE73" s="123"/>
      <c r="AF73" s="123"/>
      <c r="AG73" s="123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23"/>
      <c r="AT73" s="117"/>
      <c r="AU73" s="117"/>
      <c r="AV73" s="128"/>
      <c r="AW73" s="126">
        <f t="shared" si="31"/>
        <v>0</v>
      </c>
      <c r="AX73" s="40"/>
      <c r="AY73" s="90"/>
      <c r="AZ73" s="97">
        <f t="shared" si="33"/>
        <v>0</v>
      </c>
      <c r="BA73" s="98"/>
      <c r="BB73" s="97">
        <f t="shared" si="34"/>
        <v>0</v>
      </c>
      <c r="BC73" s="90"/>
      <c r="BD73" s="89">
        <f t="shared" si="36"/>
        <v>0</v>
      </c>
      <c r="BE73" s="98"/>
      <c r="BF73" s="89">
        <f t="shared" si="35"/>
        <v>0</v>
      </c>
      <c r="BG73" s="99"/>
      <c r="BH73" s="66"/>
      <c r="BI73" s="89">
        <f t="shared" si="0"/>
        <v>38.75</v>
      </c>
      <c r="BJ73" s="89">
        <f t="shared" si="7"/>
        <v>0</v>
      </c>
      <c r="BK73" s="89">
        <f t="shared" si="32"/>
        <v>0</v>
      </c>
      <c r="BL73" s="89">
        <f t="shared" si="26"/>
        <v>0</v>
      </c>
      <c r="BM73" s="89">
        <f t="shared" si="1"/>
        <v>27.5</v>
      </c>
      <c r="BN73" s="89">
        <f t="shared" si="9"/>
        <v>0</v>
      </c>
      <c r="BO73" s="89">
        <f t="shared" si="10"/>
        <v>0</v>
      </c>
      <c r="BP73" s="89">
        <f t="shared" si="27"/>
        <v>0</v>
      </c>
      <c r="BQ73" s="89">
        <f t="shared" si="2"/>
        <v>20</v>
      </c>
      <c r="BR73" s="89">
        <f t="shared" si="11"/>
        <v>0</v>
      </c>
      <c r="BS73" s="89">
        <f t="shared" si="12"/>
        <v>0</v>
      </c>
      <c r="BT73" s="89">
        <f t="shared" si="28"/>
        <v>0</v>
      </c>
      <c r="BU73" s="89">
        <f t="shared" si="3"/>
        <v>13.75</v>
      </c>
      <c r="BV73" s="89">
        <f t="shared" si="13"/>
        <v>0</v>
      </c>
      <c r="BW73" s="89">
        <f t="shared" si="14"/>
        <v>0</v>
      </c>
      <c r="BX73" s="89">
        <f t="shared" si="29"/>
        <v>0</v>
      </c>
      <c r="BY73" s="89" t="e">
        <f t="shared" si="4"/>
        <v>#REF!</v>
      </c>
      <c r="BZ73" s="89" t="e">
        <f t="shared" si="15"/>
        <v>#REF!</v>
      </c>
      <c r="CA73" s="89" t="e">
        <f t="shared" si="16"/>
        <v>#REF!</v>
      </c>
      <c r="CB73" s="89" t="e">
        <f t="shared" si="30"/>
        <v>#REF!</v>
      </c>
    </row>
    <row r="74" spans="1:80" ht="14.25" hidden="1" customHeight="1">
      <c r="A74" s="93">
        <v>67</v>
      </c>
      <c r="B74" s="107"/>
      <c r="C74" s="107"/>
      <c r="D74" s="105"/>
      <c r="E74" s="77"/>
      <c r="F74" s="77"/>
      <c r="G74" s="77"/>
      <c r="H74" s="77"/>
      <c r="I74" s="95"/>
      <c r="J74" s="95"/>
      <c r="K74" s="106"/>
      <c r="L74" s="106"/>
      <c r="M74" s="106"/>
      <c r="N74" s="106"/>
      <c r="O74" s="95"/>
      <c r="P74" s="105"/>
      <c r="Q74" s="77"/>
      <c r="R74" s="77"/>
      <c r="S74" s="77"/>
      <c r="T74" s="95"/>
      <c r="U74" s="95"/>
      <c r="V74" s="97">
        <f t="shared" si="21"/>
        <v>0</v>
      </c>
      <c r="W74" s="182"/>
      <c r="X74" s="117"/>
      <c r="Y74" s="117"/>
      <c r="Z74" s="117"/>
      <c r="AA74" s="117"/>
      <c r="AB74" s="117"/>
      <c r="AC74" s="123"/>
      <c r="AD74" s="123"/>
      <c r="AE74" s="123"/>
      <c r="AF74" s="123"/>
      <c r="AG74" s="123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23"/>
      <c r="AT74" s="117"/>
      <c r="AU74" s="117"/>
      <c r="AV74" s="128"/>
      <c r="AW74" s="126">
        <f t="shared" si="31"/>
        <v>0</v>
      </c>
      <c r="AX74" s="40"/>
      <c r="AY74" s="90"/>
      <c r="AZ74" s="97">
        <f t="shared" si="33"/>
        <v>0</v>
      </c>
      <c r="BA74" s="98"/>
      <c r="BB74" s="97">
        <f t="shared" si="34"/>
        <v>0</v>
      </c>
      <c r="BC74" s="90"/>
      <c r="BD74" s="89">
        <f t="shared" si="36"/>
        <v>0</v>
      </c>
      <c r="BE74" s="98"/>
      <c r="BF74" s="89">
        <f t="shared" si="35"/>
        <v>0</v>
      </c>
      <c r="BG74" s="99"/>
      <c r="BH74" s="66"/>
      <c r="BI74" s="89">
        <f t="shared" si="0"/>
        <v>38.75</v>
      </c>
      <c r="BJ74" s="89">
        <f t="shared" si="7"/>
        <v>0</v>
      </c>
      <c r="BK74" s="89">
        <f t="shared" si="32"/>
        <v>0</v>
      </c>
      <c r="BL74" s="89">
        <f t="shared" si="26"/>
        <v>0</v>
      </c>
      <c r="BM74" s="89">
        <f t="shared" si="1"/>
        <v>27.5</v>
      </c>
      <c r="BN74" s="89">
        <f t="shared" si="9"/>
        <v>0</v>
      </c>
      <c r="BO74" s="89">
        <f t="shared" si="10"/>
        <v>0</v>
      </c>
      <c r="BP74" s="89">
        <f t="shared" si="27"/>
        <v>0</v>
      </c>
      <c r="BQ74" s="89">
        <f t="shared" si="2"/>
        <v>20</v>
      </c>
      <c r="BR74" s="89">
        <f t="shared" si="11"/>
        <v>0</v>
      </c>
      <c r="BS74" s="89">
        <f t="shared" si="12"/>
        <v>0</v>
      </c>
      <c r="BT74" s="89">
        <f t="shared" si="28"/>
        <v>0</v>
      </c>
      <c r="BU74" s="89">
        <f t="shared" si="3"/>
        <v>13.75</v>
      </c>
      <c r="BV74" s="89">
        <f t="shared" si="13"/>
        <v>0</v>
      </c>
      <c r="BW74" s="89">
        <f t="shared" si="14"/>
        <v>0</v>
      </c>
      <c r="BX74" s="89">
        <f t="shared" si="29"/>
        <v>0</v>
      </c>
      <c r="BY74" s="89" t="e">
        <f t="shared" si="4"/>
        <v>#REF!</v>
      </c>
      <c r="BZ74" s="89" t="e">
        <f t="shared" si="15"/>
        <v>#REF!</v>
      </c>
      <c r="CA74" s="89" t="e">
        <f t="shared" si="16"/>
        <v>#REF!</v>
      </c>
      <c r="CB74" s="89" t="e">
        <f t="shared" si="30"/>
        <v>#REF!</v>
      </c>
    </row>
    <row r="75" spans="1:80" ht="14.25" hidden="1" customHeight="1">
      <c r="A75" s="93">
        <v>68</v>
      </c>
      <c r="B75" s="107"/>
      <c r="C75" s="107"/>
      <c r="D75" s="105"/>
      <c r="E75" s="77"/>
      <c r="F75" s="77"/>
      <c r="G75" s="77"/>
      <c r="H75" s="77"/>
      <c r="I75" s="95"/>
      <c r="J75" s="95"/>
      <c r="K75" s="106"/>
      <c r="L75" s="106"/>
      <c r="M75" s="106"/>
      <c r="N75" s="106"/>
      <c r="O75" s="95"/>
      <c r="P75" s="105"/>
      <c r="Q75" s="77"/>
      <c r="R75" s="77"/>
      <c r="S75" s="77"/>
      <c r="T75" s="77"/>
      <c r="U75" s="77"/>
      <c r="V75" s="97">
        <f t="shared" si="21"/>
        <v>0</v>
      </c>
      <c r="W75" s="182"/>
      <c r="X75" s="117"/>
      <c r="Y75" s="117"/>
      <c r="Z75" s="117"/>
      <c r="AA75" s="117"/>
      <c r="AB75" s="117"/>
      <c r="AC75" s="123"/>
      <c r="AD75" s="123"/>
      <c r="AE75" s="123"/>
      <c r="AF75" s="123"/>
      <c r="AG75" s="123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23"/>
      <c r="AT75" s="117"/>
      <c r="AU75" s="117"/>
      <c r="AV75" s="128"/>
      <c r="AW75" s="126">
        <f t="shared" si="31"/>
        <v>0</v>
      </c>
      <c r="AX75" s="40"/>
      <c r="AY75" s="90"/>
      <c r="AZ75" s="97">
        <f t="shared" si="33"/>
        <v>0</v>
      </c>
      <c r="BA75" s="98"/>
      <c r="BB75" s="97">
        <f t="shared" si="34"/>
        <v>0</v>
      </c>
      <c r="BC75" s="90"/>
      <c r="BD75" s="89">
        <f t="shared" si="36"/>
        <v>0</v>
      </c>
      <c r="BE75" s="98"/>
      <c r="BF75" s="89">
        <f t="shared" si="35"/>
        <v>0</v>
      </c>
      <c r="BG75" s="99"/>
      <c r="BH75" s="66"/>
      <c r="BI75" s="89">
        <f t="shared" si="0"/>
        <v>38.75</v>
      </c>
      <c r="BJ75" s="89">
        <f t="shared" si="7"/>
        <v>0</v>
      </c>
      <c r="BK75" s="89">
        <f t="shared" si="32"/>
        <v>0</v>
      </c>
      <c r="BL75" s="89">
        <f t="shared" si="26"/>
        <v>0</v>
      </c>
      <c r="BM75" s="89">
        <f t="shared" si="1"/>
        <v>27.5</v>
      </c>
      <c r="BN75" s="89">
        <f t="shared" si="9"/>
        <v>0</v>
      </c>
      <c r="BO75" s="89">
        <f t="shared" si="10"/>
        <v>0</v>
      </c>
      <c r="BP75" s="89">
        <f t="shared" si="27"/>
        <v>0</v>
      </c>
      <c r="BQ75" s="89">
        <f t="shared" si="2"/>
        <v>20</v>
      </c>
      <c r="BR75" s="89">
        <f t="shared" si="11"/>
        <v>0</v>
      </c>
      <c r="BS75" s="89">
        <f t="shared" si="12"/>
        <v>0</v>
      </c>
      <c r="BT75" s="89">
        <f t="shared" si="28"/>
        <v>0</v>
      </c>
      <c r="BU75" s="89">
        <f t="shared" si="3"/>
        <v>13.75</v>
      </c>
      <c r="BV75" s="89">
        <f t="shared" si="13"/>
        <v>0</v>
      </c>
      <c r="BW75" s="89">
        <f t="shared" si="14"/>
        <v>0</v>
      </c>
      <c r="BX75" s="89">
        <f t="shared" si="29"/>
        <v>0</v>
      </c>
      <c r="BY75" s="89" t="e">
        <f t="shared" si="4"/>
        <v>#REF!</v>
      </c>
      <c r="BZ75" s="89" t="e">
        <f t="shared" si="15"/>
        <v>#REF!</v>
      </c>
      <c r="CA75" s="89" t="e">
        <f t="shared" si="16"/>
        <v>#REF!</v>
      </c>
      <c r="CB75" s="89" t="e">
        <f t="shared" si="30"/>
        <v>#REF!</v>
      </c>
    </row>
    <row r="76" spans="1:80" ht="14.25" hidden="1" customHeight="1">
      <c r="A76" s="93">
        <v>69</v>
      </c>
      <c r="B76" s="107"/>
      <c r="C76" s="107"/>
      <c r="D76" s="105"/>
      <c r="E76" s="77"/>
      <c r="F76" s="77"/>
      <c r="G76" s="77"/>
      <c r="H76" s="77"/>
      <c r="I76" s="95"/>
      <c r="J76" s="95"/>
      <c r="K76" s="106"/>
      <c r="L76" s="106"/>
      <c r="M76" s="106"/>
      <c r="N76" s="106"/>
      <c r="O76" s="95"/>
      <c r="P76" s="105"/>
      <c r="Q76" s="77"/>
      <c r="R76" s="77"/>
      <c r="S76" s="77"/>
      <c r="T76" s="77"/>
      <c r="U76" s="77"/>
      <c r="V76" s="97">
        <f t="shared" si="21"/>
        <v>0</v>
      </c>
      <c r="W76" s="182"/>
      <c r="X76" s="117"/>
      <c r="Y76" s="117"/>
      <c r="Z76" s="117"/>
      <c r="AA76" s="117"/>
      <c r="AB76" s="117"/>
      <c r="AC76" s="123"/>
      <c r="AD76" s="123"/>
      <c r="AE76" s="123"/>
      <c r="AF76" s="123"/>
      <c r="AG76" s="123"/>
      <c r="AH76" s="117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23"/>
      <c r="AT76" s="117"/>
      <c r="AU76" s="117"/>
      <c r="AV76" s="128"/>
      <c r="AW76" s="126">
        <f t="shared" si="31"/>
        <v>0</v>
      </c>
      <c r="AX76" s="40"/>
      <c r="AY76" s="90"/>
      <c r="AZ76" s="97">
        <f t="shared" si="33"/>
        <v>0</v>
      </c>
      <c r="BA76" s="98"/>
      <c r="BB76" s="97">
        <f t="shared" si="34"/>
        <v>0</v>
      </c>
      <c r="BC76" s="90"/>
      <c r="BD76" s="89">
        <f t="shared" si="36"/>
        <v>0</v>
      </c>
      <c r="BE76" s="98"/>
      <c r="BF76" s="89">
        <f t="shared" si="35"/>
        <v>0</v>
      </c>
      <c r="BG76" s="99"/>
      <c r="BH76" s="66"/>
      <c r="BI76" s="89">
        <f t="shared" si="0"/>
        <v>38.75</v>
      </c>
      <c r="BJ76" s="89">
        <f t="shared" si="7"/>
        <v>0</v>
      </c>
      <c r="BK76" s="89">
        <f t="shared" si="32"/>
        <v>0</v>
      </c>
      <c r="BL76" s="89">
        <f t="shared" si="26"/>
        <v>0</v>
      </c>
      <c r="BM76" s="89">
        <f t="shared" si="1"/>
        <v>27.5</v>
      </c>
      <c r="BN76" s="89">
        <f t="shared" si="9"/>
        <v>0</v>
      </c>
      <c r="BO76" s="89">
        <f t="shared" si="10"/>
        <v>0</v>
      </c>
      <c r="BP76" s="89">
        <f t="shared" si="27"/>
        <v>0</v>
      </c>
      <c r="BQ76" s="89">
        <f t="shared" si="2"/>
        <v>20</v>
      </c>
      <c r="BR76" s="89">
        <f t="shared" si="11"/>
        <v>0</v>
      </c>
      <c r="BS76" s="89">
        <f t="shared" si="12"/>
        <v>0</v>
      </c>
      <c r="BT76" s="89">
        <f t="shared" si="28"/>
        <v>0</v>
      </c>
      <c r="BU76" s="89">
        <f t="shared" si="3"/>
        <v>13.75</v>
      </c>
      <c r="BV76" s="89">
        <f t="shared" si="13"/>
        <v>0</v>
      </c>
      <c r="BW76" s="89">
        <f t="shared" si="14"/>
        <v>0</v>
      </c>
      <c r="BX76" s="89">
        <f t="shared" si="29"/>
        <v>0</v>
      </c>
      <c r="BY76" s="89" t="e">
        <f t="shared" si="4"/>
        <v>#REF!</v>
      </c>
      <c r="BZ76" s="89" t="e">
        <f t="shared" si="15"/>
        <v>#REF!</v>
      </c>
      <c r="CA76" s="89" t="e">
        <f t="shared" si="16"/>
        <v>#REF!</v>
      </c>
      <c r="CB76" s="89" t="e">
        <f t="shared" si="30"/>
        <v>#REF!</v>
      </c>
    </row>
    <row r="77" spans="1:80" ht="14.25" hidden="1" customHeight="1">
      <c r="A77" s="93">
        <v>70</v>
      </c>
      <c r="B77" s="108"/>
      <c r="C77" s="108"/>
      <c r="D77" s="105"/>
      <c r="E77" s="77"/>
      <c r="F77" s="77"/>
      <c r="G77" s="77"/>
      <c r="H77" s="77"/>
      <c r="I77" s="95"/>
      <c r="J77" s="95"/>
      <c r="K77" s="106"/>
      <c r="L77" s="106"/>
      <c r="M77" s="106"/>
      <c r="N77" s="106"/>
      <c r="O77" s="95"/>
      <c r="P77" s="105"/>
      <c r="Q77" s="77"/>
      <c r="R77" s="77"/>
      <c r="S77" s="77"/>
      <c r="T77" s="77"/>
      <c r="U77" s="77"/>
      <c r="V77" s="97">
        <f t="shared" si="21"/>
        <v>0</v>
      </c>
      <c r="W77" s="182"/>
      <c r="X77" s="117"/>
      <c r="Y77" s="117"/>
      <c r="Z77" s="117"/>
      <c r="AA77" s="117"/>
      <c r="AB77" s="117"/>
      <c r="AC77" s="123"/>
      <c r="AD77" s="123"/>
      <c r="AE77" s="123"/>
      <c r="AF77" s="123"/>
      <c r="AG77" s="123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23"/>
      <c r="AT77" s="117"/>
      <c r="AU77" s="117"/>
      <c r="AV77" s="128"/>
      <c r="AW77" s="126">
        <f t="shared" si="31"/>
        <v>0</v>
      </c>
      <c r="AX77" s="40"/>
      <c r="AY77" s="90"/>
      <c r="AZ77" s="97">
        <f t="shared" si="33"/>
        <v>0</v>
      </c>
      <c r="BA77" s="98"/>
      <c r="BB77" s="97">
        <f t="shared" si="34"/>
        <v>0</v>
      </c>
      <c r="BC77" s="90"/>
      <c r="BD77" s="89">
        <f t="shared" si="36"/>
        <v>0</v>
      </c>
      <c r="BE77" s="98"/>
      <c r="BF77" s="89">
        <f t="shared" si="35"/>
        <v>0</v>
      </c>
      <c r="BG77" s="99"/>
      <c r="BH77" s="66"/>
      <c r="BI77" s="89">
        <f t="shared" si="0"/>
        <v>38.75</v>
      </c>
      <c r="BJ77" s="89">
        <f t="shared" si="7"/>
        <v>0</v>
      </c>
      <c r="BK77" s="89">
        <f t="shared" si="32"/>
        <v>0</v>
      </c>
      <c r="BL77" s="89">
        <f t="shared" si="26"/>
        <v>0</v>
      </c>
      <c r="BM77" s="89">
        <f t="shared" si="1"/>
        <v>27.5</v>
      </c>
      <c r="BN77" s="89">
        <f t="shared" si="9"/>
        <v>0</v>
      </c>
      <c r="BO77" s="89">
        <f t="shared" si="10"/>
        <v>0</v>
      </c>
      <c r="BP77" s="89">
        <f t="shared" si="27"/>
        <v>0</v>
      </c>
      <c r="BQ77" s="89">
        <f t="shared" si="2"/>
        <v>20</v>
      </c>
      <c r="BR77" s="89">
        <f t="shared" si="11"/>
        <v>0</v>
      </c>
      <c r="BS77" s="89">
        <f t="shared" si="12"/>
        <v>0</v>
      </c>
      <c r="BT77" s="89">
        <f t="shared" si="28"/>
        <v>0</v>
      </c>
      <c r="BU77" s="89">
        <f t="shared" si="3"/>
        <v>13.75</v>
      </c>
      <c r="BV77" s="89">
        <f t="shared" si="13"/>
        <v>0</v>
      </c>
      <c r="BW77" s="89">
        <f t="shared" si="14"/>
        <v>0</v>
      </c>
      <c r="BX77" s="89">
        <f t="shared" si="29"/>
        <v>0</v>
      </c>
      <c r="BY77" s="89" t="e">
        <f t="shared" si="4"/>
        <v>#REF!</v>
      </c>
      <c r="BZ77" s="89" t="e">
        <f t="shared" si="15"/>
        <v>#REF!</v>
      </c>
      <c r="CA77" s="89" t="e">
        <f t="shared" si="16"/>
        <v>#REF!</v>
      </c>
      <c r="CB77" s="89" t="e">
        <f t="shared" si="30"/>
        <v>#REF!</v>
      </c>
    </row>
    <row r="78" spans="1:80" ht="14.25" hidden="1" customHeight="1">
      <c r="A78" s="93">
        <v>71</v>
      </c>
      <c r="B78" s="108"/>
      <c r="C78" s="108"/>
      <c r="D78" s="105"/>
      <c r="E78" s="77"/>
      <c r="F78" s="77"/>
      <c r="G78" s="77"/>
      <c r="H78" s="77"/>
      <c r="I78" s="95"/>
      <c r="J78" s="95"/>
      <c r="K78" s="106"/>
      <c r="L78" s="106"/>
      <c r="M78" s="106"/>
      <c r="N78" s="106"/>
      <c r="O78" s="95"/>
      <c r="P78" s="105"/>
      <c r="Q78" s="77"/>
      <c r="R78" s="77"/>
      <c r="S78" s="77"/>
      <c r="T78" s="77"/>
      <c r="U78" s="77"/>
      <c r="V78" s="97">
        <f t="shared" si="21"/>
        <v>0</v>
      </c>
      <c r="W78" s="182"/>
      <c r="X78" s="117"/>
      <c r="Y78" s="117"/>
      <c r="Z78" s="117"/>
      <c r="AA78" s="117"/>
      <c r="AB78" s="117"/>
      <c r="AC78" s="123"/>
      <c r="AD78" s="123"/>
      <c r="AE78" s="123"/>
      <c r="AF78" s="123"/>
      <c r="AG78" s="123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23"/>
      <c r="AT78" s="117"/>
      <c r="AU78" s="117"/>
      <c r="AV78" s="128"/>
      <c r="AW78" s="126">
        <f t="shared" si="31"/>
        <v>0</v>
      </c>
      <c r="AX78" s="40"/>
      <c r="AY78" s="90"/>
      <c r="AZ78" s="97">
        <f t="shared" si="33"/>
        <v>0</v>
      </c>
      <c r="BA78" s="98"/>
      <c r="BB78" s="97">
        <f t="shared" si="34"/>
        <v>0</v>
      </c>
      <c r="BC78" s="90"/>
      <c r="BD78" s="89">
        <f t="shared" si="36"/>
        <v>0</v>
      </c>
      <c r="BE78" s="98"/>
      <c r="BF78" s="89">
        <f t="shared" si="35"/>
        <v>0</v>
      </c>
      <c r="BG78" s="99"/>
      <c r="BH78" s="66"/>
      <c r="BI78" s="89">
        <f t="shared" si="0"/>
        <v>38.75</v>
      </c>
      <c r="BJ78" s="89">
        <f t="shared" si="7"/>
        <v>0</v>
      </c>
      <c r="BK78" s="89">
        <f t="shared" si="32"/>
        <v>0</v>
      </c>
      <c r="BL78" s="89">
        <f t="shared" si="26"/>
        <v>0</v>
      </c>
      <c r="BM78" s="89">
        <f t="shared" si="1"/>
        <v>27.5</v>
      </c>
      <c r="BN78" s="89">
        <f t="shared" si="9"/>
        <v>0</v>
      </c>
      <c r="BO78" s="89">
        <f t="shared" si="10"/>
        <v>0</v>
      </c>
      <c r="BP78" s="89">
        <f t="shared" si="27"/>
        <v>0</v>
      </c>
      <c r="BQ78" s="89">
        <f t="shared" si="2"/>
        <v>20</v>
      </c>
      <c r="BR78" s="89">
        <f t="shared" si="11"/>
        <v>0</v>
      </c>
      <c r="BS78" s="89">
        <f t="shared" si="12"/>
        <v>0</v>
      </c>
      <c r="BT78" s="89">
        <f t="shared" si="28"/>
        <v>0</v>
      </c>
      <c r="BU78" s="89">
        <f t="shared" si="3"/>
        <v>13.75</v>
      </c>
      <c r="BV78" s="89">
        <f t="shared" si="13"/>
        <v>0</v>
      </c>
      <c r="BW78" s="89">
        <f t="shared" si="14"/>
        <v>0</v>
      </c>
      <c r="BX78" s="89">
        <f t="shared" si="29"/>
        <v>0</v>
      </c>
      <c r="BY78" s="89" t="e">
        <f t="shared" si="4"/>
        <v>#REF!</v>
      </c>
      <c r="BZ78" s="89" t="e">
        <f t="shared" si="15"/>
        <v>#REF!</v>
      </c>
      <c r="CA78" s="89" t="e">
        <f t="shared" si="16"/>
        <v>#REF!</v>
      </c>
      <c r="CB78" s="89" t="e">
        <f t="shared" si="30"/>
        <v>#REF!</v>
      </c>
    </row>
    <row r="79" spans="1:80" ht="14.25" hidden="1" customHeight="1">
      <c r="A79" s="93">
        <v>72</v>
      </c>
      <c r="B79" s="108"/>
      <c r="C79" s="108"/>
      <c r="D79" s="105"/>
      <c r="E79" s="77"/>
      <c r="F79" s="77"/>
      <c r="G79" s="77"/>
      <c r="H79" s="77"/>
      <c r="I79" s="95"/>
      <c r="J79" s="95"/>
      <c r="K79" s="102"/>
      <c r="L79" s="102"/>
      <c r="M79" s="102"/>
      <c r="N79" s="102"/>
      <c r="O79" s="102"/>
      <c r="P79" s="77"/>
      <c r="Q79" s="77"/>
      <c r="R79" s="77"/>
      <c r="S79" s="77"/>
      <c r="T79" s="77"/>
      <c r="U79" s="77"/>
      <c r="V79" s="97">
        <f t="shared" si="21"/>
        <v>0</v>
      </c>
      <c r="W79" s="182"/>
      <c r="X79" s="117"/>
      <c r="Y79" s="117"/>
      <c r="Z79" s="117"/>
      <c r="AA79" s="117"/>
      <c r="AB79" s="117"/>
      <c r="AC79" s="123"/>
      <c r="AD79" s="123"/>
      <c r="AE79" s="123"/>
      <c r="AF79" s="123"/>
      <c r="AG79" s="123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23"/>
      <c r="AT79" s="117"/>
      <c r="AU79" s="117"/>
      <c r="AV79" s="128"/>
      <c r="AW79" s="126">
        <f t="shared" si="31"/>
        <v>0</v>
      </c>
      <c r="AX79" s="40"/>
      <c r="AY79" s="90"/>
      <c r="AZ79" s="97">
        <f t="shared" si="33"/>
        <v>0</v>
      </c>
      <c r="BA79" s="98"/>
      <c r="BB79" s="97">
        <f t="shared" si="34"/>
        <v>0</v>
      </c>
      <c r="BC79" s="90"/>
      <c r="BD79" s="89">
        <f t="shared" si="36"/>
        <v>0</v>
      </c>
      <c r="BE79" s="98"/>
      <c r="BF79" s="89">
        <f t="shared" si="35"/>
        <v>0</v>
      </c>
      <c r="BG79" s="99"/>
      <c r="BH79" s="66"/>
      <c r="BI79" s="89">
        <f t="shared" si="0"/>
        <v>38.75</v>
      </c>
      <c r="BJ79" s="89">
        <f t="shared" si="7"/>
        <v>0</v>
      </c>
      <c r="BK79" s="89">
        <f t="shared" si="32"/>
        <v>0</v>
      </c>
      <c r="BL79" s="89">
        <f t="shared" si="26"/>
        <v>0</v>
      </c>
      <c r="BM79" s="89">
        <f t="shared" si="1"/>
        <v>27.5</v>
      </c>
      <c r="BN79" s="89">
        <f t="shared" si="9"/>
        <v>0</v>
      </c>
      <c r="BO79" s="89">
        <f t="shared" si="10"/>
        <v>0</v>
      </c>
      <c r="BP79" s="89">
        <f t="shared" si="27"/>
        <v>0</v>
      </c>
      <c r="BQ79" s="89">
        <f t="shared" si="2"/>
        <v>20</v>
      </c>
      <c r="BR79" s="89">
        <f t="shared" si="11"/>
        <v>0</v>
      </c>
      <c r="BS79" s="89">
        <f t="shared" si="12"/>
        <v>0</v>
      </c>
      <c r="BT79" s="89">
        <f t="shared" si="28"/>
        <v>0</v>
      </c>
      <c r="BU79" s="89">
        <f t="shared" si="3"/>
        <v>13.75</v>
      </c>
      <c r="BV79" s="89">
        <f t="shared" si="13"/>
        <v>0</v>
      </c>
      <c r="BW79" s="89">
        <f t="shared" si="14"/>
        <v>0</v>
      </c>
      <c r="BX79" s="89">
        <f t="shared" si="29"/>
        <v>0</v>
      </c>
      <c r="BY79" s="89" t="e">
        <f t="shared" si="4"/>
        <v>#REF!</v>
      </c>
      <c r="BZ79" s="89" t="e">
        <f t="shared" si="15"/>
        <v>#REF!</v>
      </c>
      <c r="CA79" s="89" t="e">
        <f t="shared" si="16"/>
        <v>#REF!</v>
      </c>
      <c r="CB79" s="89" t="e">
        <f t="shared" si="30"/>
        <v>#REF!</v>
      </c>
    </row>
    <row r="80" spans="1:80" ht="14.25" hidden="1" customHeight="1">
      <c r="A80" s="93">
        <v>73</v>
      </c>
      <c r="B80" s="108"/>
      <c r="C80" s="108"/>
      <c r="D80" s="105"/>
      <c r="E80" s="77"/>
      <c r="F80" s="77"/>
      <c r="G80" s="77"/>
      <c r="H80" s="77"/>
      <c r="I80" s="95"/>
      <c r="J80" s="95"/>
      <c r="K80" s="95"/>
      <c r="L80" s="95"/>
      <c r="M80" s="95"/>
      <c r="N80" s="95"/>
      <c r="O80" s="95"/>
      <c r="P80" s="77"/>
      <c r="Q80" s="77"/>
      <c r="R80" s="77"/>
      <c r="S80" s="77"/>
      <c r="T80" s="77"/>
      <c r="U80" s="77"/>
      <c r="V80" s="97">
        <f t="shared" si="21"/>
        <v>0</v>
      </c>
      <c r="W80" s="182"/>
      <c r="X80" s="117"/>
      <c r="Y80" s="117"/>
      <c r="Z80" s="117"/>
      <c r="AA80" s="117"/>
      <c r="AB80" s="117"/>
      <c r="AC80" s="123"/>
      <c r="AD80" s="123"/>
      <c r="AE80" s="123"/>
      <c r="AF80" s="123"/>
      <c r="AG80" s="123"/>
      <c r="AH80" s="117"/>
      <c r="AI80" s="117"/>
      <c r="AJ80" s="117"/>
      <c r="AK80" s="117"/>
      <c r="AL80" s="117"/>
      <c r="AM80" s="123"/>
      <c r="AN80" s="123"/>
      <c r="AO80" s="123"/>
      <c r="AP80" s="123"/>
      <c r="AQ80" s="123"/>
      <c r="AR80" s="123"/>
      <c r="AS80" s="123"/>
      <c r="AT80" s="117"/>
      <c r="AU80" s="117"/>
      <c r="AV80" s="125"/>
      <c r="AW80" s="126">
        <f t="shared" si="31"/>
        <v>0</v>
      </c>
      <c r="AX80" s="40"/>
      <c r="AY80" s="90"/>
      <c r="AZ80" s="97">
        <f t="shared" si="33"/>
        <v>0</v>
      </c>
      <c r="BA80" s="98"/>
      <c r="BB80" s="97">
        <f t="shared" si="34"/>
        <v>0</v>
      </c>
      <c r="BC80" s="90"/>
      <c r="BD80" s="89">
        <f t="shared" si="36"/>
        <v>0</v>
      </c>
      <c r="BE80" s="98"/>
      <c r="BF80" s="89">
        <f t="shared" si="35"/>
        <v>0</v>
      </c>
      <c r="BG80" s="99"/>
      <c r="BH80" s="66"/>
      <c r="BI80" s="89">
        <f t="shared" si="0"/>
        <v>38.75</v>
      </c>
      <c r="BJ80" s="89">
        <f t="shared" si="7"/>
        <v>0</v>
      </c>
      <c r="BK80" s="89">
        <f t="shared" si="32"/>
        <v>0</v>
      </c>
      <c r="BL80" s="89">
        <f t="shared" si="26"/>
        <v>0</v>
      </c>
      <c r="BM80" s="89">
        <f t="shared" si="1"/>
        <v>27.5</v>
      </c>
      <c r="BN80" s="89">
        <f t="shared" si="9"/>
        <v>0</v>
      </c>
      <c r="BO80" s="89">
        <f t="shared" si="10"/>
        <v>0</v>
      </c>
      <c r="BP80" s="89">
        <f t="shared" si="27"/>
        <v>0</v>
      </c>
      <c r="BQ80" s="89">
        <f t="shared" si="2"/>
        <v>20</v>
      </c>
      <c r="BR80" s="89">
        <f t="shared" si="11"/>
        <v>0</v>
      </c>
      <c r="BS80" s="89">
        <f t="shared" si="12"/>
        <v>0</v>
      </c>
      <c r="BT80" s="89">
        <f t="shared" si="28"/>
        <v>0</v>
      </c>
      <c r="BU80" s="89">
        <f t="shared" si="3"/>
        <v>13.75</v>
      </c>
      <c r="BV80" s="89">
        <f t="shared" si="13"/>
        <v>0</v>
      </c>
      <c r="BW80" s="89">
        <f t="shared" si="14"/>
        <v>0</v>
      </c>
      <c r="BX80" s="89">
        <f t="shared" si="29"/>
        <v>0</v>
      </c>
      <c r="BY80" s="89" t="e">
        <f t="shared" si="4"/>
        <v>#REF!</v>
      </c>
      <c r="BZ80" s="89" t="e">
        <f t="shared" si="15"/>
        <v>#REF!</v>
      </c>
      <c r="CA80" s="89" t="e">
        <f t="shared" si="16"/>
        <v>#REF!</v>
      </c>
      <c r="CB80" s="89" t="e">
        <f t="shared" si="30"/>
        <v>#REF!</v>
      </c>
    </row>
    <row r="81" spans="1:80" ht="14.25" hidden="1" customHeight="1">
      <c r="A81" s="93">
        <v>74</v>
      </c>
      <c r="B81" s="82"/>
      <c r="C81" s="82"/>
      <c r="D81" s="100"/>
      <c r="E81" s="82"/>
      <c r="F81" s="82"/>
      <c r="G81" s="82"/>
      <c r="H81" s="82"/>
      <c r="I81" s="96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97">
        <f t="shared" si="21"/>
        <v>0</v>
      </c>
      <c r="W81" s="184"/>
      <c r="X81" s="117"/>
      <c r="Y81" s="117"/>
      <c r="Z81" s="117"/>
      <c r="AA81" s="117"/>
      <c r="AB81" s="117"/>
      <c r="AC81" s="123"/>
      <c r="AD81" s="123"/>
      <c r="AE81" s="123"/>
      <c r="AF81" s="123"/>
      <c r="AG81" s="123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23"/>
      <c r="AT81" s="117"/>
      <c r="AU81" s="117"/>
      <c r="AV81" s="128"/>
      <c r="AW81" s="126">
        <f t="shared" si="31"/>
        <v>0</v>
      </c>
      <c r="AX81" s="39"/>
      <c r="AY81" s="39"/>
      <c r="AZ81" s="97">
        <f t="shared" si="33"/>
        <v>0</v>
      </c>
      <c r="BA81" s="98"/>
      <c r="BB81" s="97">
        <f t="shared" si="34"/>
        <v>0</v>
      </c>
      <c r="BC81" s="90"/>
      <c r="BD81" s="89">
        <f t="shared" si="36"/>
        <v>0</v>
      </c>
      <c r="BE81" s="98"/>
      <c r="BF81" s="89">
        <f t="shared" si="35"/>
        <v>0</v>
      </c>
      <c r="BG81" s="99"/>
      <c r="BH81" s="66"/>
      <c r="BI81" s="89">
        <f t="shared" si="0"/>
        <v>38.75</v>
      </c>
      <c r="BJ81" s="89">
        <f t="shared" si="7"/>
        <v>0</v>
      </c>
      <c r="BK81" s="89">
        <f t="shared" si="32"/>
        <v>0</v>
      </c>
      <c r="BL81" s="89">
        <f t="shared" si="26"/>
        <v>0</v>
      </c>
      <c r="BM81" s="89">
        <f t="shared" si="1"/>
        <v>27.5</v>
      </c>
      <c r="BN81" s="89">
        <f t="shared" si="9"/>
        <v>0</v>
      </c>
      <c r="BO81" s="89">
        <f t="shared" si="10"/>
        <v>0</v>
      </c>
      <c r="BP81" s="89">
        <f t="shared" si="27"/>
        <v>0</v>
      </c>
      <c r="BQ81" s="89">
        <f t="shared" si="2"/>
        <v>20</v>
      </c>
      <c r="BR81" s="89">
        <f t="shared" si="11"/>
        <v>0</v>
      </c>
      <c r="BS81" s="89">
        <f t="shared" si="12"/>
        <v>0</v>
      </c>
      <c r="BT81" s="89">
        <f t="shared" si="28"/>
        <v>0</v>
      </c>
      <c r="BU81" s="89">
        <f t="shared" si="3"/>
        <v>13.75</v>
      </c>
      <c r="BV81" s="89">
        <f t="shared" si="13"/>
        <v>0</v>
      </c>
      <c r="BW81" s="89">
        <f t="shared" si="14"/>
        <v>0</v>
      </c>
      <c r="BX81" s="89">
        <f t="shared" si="29"/>
        <v>0</v>
      </c>
      <c r="BY81" s="89" t="e">
        <f t="shared" si="4"/>
        <v>#REF!</v>
      </c>
      <c r="BZ81" s="89" t="e">
        <f t="shared" si="15"/>
        <v>#REF!</v>
      </c>
      <c r="CA81" s="89" t="e">
        <f t="shared" si="16"/>
        <v>#REF!</v>
      </c>
      <c r="CB81" s="89" t="e">
        <f t="shared" si="30"/>
        <v>#REF!</v>
      </c>
    </row>
    <row r="82" spans="1:80" ht="14.25" hidden="1" customHeight="1">
      <c r="A82" s="93">
        <v>75</v>
      </c>
      <c r="B82" s="82"/>
      <c r="C82" s="82"/>
      <c r="D82" s="100"/>
      <c r="E82" s="82"/>
      <c r="F82" s="82"/>
      <c r="G82" s="82"/>
      <c r="H82" s="82"/>
      <c r="I82" s="96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97">
        <f t="shared" si="21"/>
        <v>0</v>
      </c>
      <c r="W82" s="184"/>
      <c r="X82" s="117"/>
      <c r="Y82" s="117"/>
      <c r="Z82" s="117"/>
      <c r="AA82" s="117"/>
      <c r="AB82" s="117"/>
      <c r="AC82" s="123"/>
      <c r="AD82" s="123"/>
      <c r="AE82" s="123"/>
      <c r="AF82" s="123"/>
      <c r="AG82" s="123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23"/>
      <c r="AT82" s="117"/>
      <c r="AU82" s="117"/>
      <c r="AV82" s="128"/>
      <c r="AW82" s="126">
        <f t="shared" si="31"/>
        <v>0</v>
      </c>
      <c r="AX82" s="39"/>
      <c r="AY82" s="39"/>
      <c r="AZ82" s="97">
        <f t="shared" si="33"/>
        <v>0</v>
      </c>
      <c r="BA82" s="98"/>
      <c r="BB82" s="97">
        <f t="shared" si="34"/>
        <v>0</v>
      </c>
      <c r="BC82" s="90"/>
      <c r="BD82" s="89">
        <f t="shared" si="36"/>
        <v>0</v>
      </c>
      <c r="BE82" s="98"/>
      <c r="BF82" s="89">
        <f t="shared" si="35"/>
        <v>0</v>
      </c>
      <c r="BG82" s="99"/>
      <c r="BH82" s="66"/>
      <c r="BI82" s="89">
        <f t="shared" si="0"/>
        <v>38.75</v>
      </c>
      <c r="BJ82" s="89">
        <f t="shared" si="7"/>
        <v>0</v>
      </c>
      <c r="BK82" s="89">
        <f t="shared" si="32"/>
        <v>0</v>
      </c>
      <c r="BL82" s="89">
        <f t="shared" si="26"/>
        <v>0</v>
      </c>
      <c r="BM82" s="89">
        <f t="shared" si="1"/>
        <v>27.5</v>
      </c>
      <c r="BN82" s="89">
        <f t="shared" si="9"/>
        <v>0</v>
      </c>
      <c r="BO82" s="89">
        <f t="shared" si="10"/>
        <v>0</v>
      </c>
      <c r="BP82" s="89">
        <f t="shared" si="27"/>
        <v>0</v>
      </c>
      <c r="BQ82" s="89">
        <f t="shared" si="2"/>
        <v>20</v>
      </c>
      <c r="BR82" s="89">
        <f t="shared" si="11"/>
        <v>0</v>
      </c>
      <c r="BS82" s="89">
        <f t="shared" si="12"/>
        <v>0</v>
      </c>
      <c r="BT82" s="89">
        <f t="shared" si="28"/>
        <v>0</v>
      </c>
      <c r="BU82" s="89">
        <f t="shared" si="3"/>
        <v>13.75</v>
      </c>
      <c r="BV82" s="89">
        <f t="shared" si="13"/>
        <v>0</v>
      </c>
      <c r="BW82" s="89">
        <f t="shared" si="14"/>
        <v>0</v>
      </c>
      <c r="BX82" s="89">
        <f t="shared" si="29"/>
        <v>0</v>
      </c>
      <c r="BY82" s="89" t="e">
        <f t="shared" si="4"/>
        <v>#REF!</v>
      </c>
      <c r="BZ82" s="89" t="e">
        <f t="shared" si="15"/>
        <v>#REF!</v>
      </c>
      <c r="CA82" s="89" t="e">
        <f t="shared" si="16"/>
        <v>#REF!</v>
      </c>
      <c r="CB82" s="89" t="e">
        <f t="shared" si="30"/>
        <v>#REF!</v>
      </c>
    </row>
    <row r="83" spans="1:80" ht="14.25" hidden="1" customHeight="1">
      <c r="A83" s="93">
        <v>76</v>
      </c>
      <c r="B83" s="82"/>
      <c r="C83" s="82"/>
      <c r="D83" s="100"/>
      <c r="E83" s="82"/>
      <c r="F83" s="82"/>
      <c r="G83" s="82"/>
      <c r="H83" s="82"/>
      <c r="I83" s="96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97">
        <f t="shared" si="21"/>
        <v>0</v>
      </c>
      <c r="W83" s="184"/>
      <c r="X83" s="117"/>
      <c r="Y83" s="117"/>
      <c r="Z83" s="117"/>
      <c r="AA83" s="117"/>
      <c r="AB83" s="117"/>
      <c r="AC83" s="123"/>
      <c r="AD83" s="123"/>
      <c r="AE83" s="123"/>
      <c r="AF83" s="123"/>
      <c r="AG83" s="123"/>
      <c r="AH83" s="117"/>
      <c r="AI83" s="117"/>
      <c r="AJ83" s="117"/>
      <c r="AK83" s="117"/>
      <c r="AL83" s="117"/>
      <c r="AM83" s="117"/>
      <c r="AN83" s="117"/>
      <c r="AO83" s="117"/>
      <c r="AP83" s="117"/>
      <c r="AQ83" s="117"/>
      <c r="AR83" s="117"/>
      <c r="AS83" s="123"/>
      <c r="AT83" s="117"/>
      <c r="AU83" s="117"/>
      <c r="AV83" s="128"/>
      <c r="AW83" s="126">
        <f t="shared" si="31"/>
        <v>0</v>
      </c>
      <c r="AX83" s="39"/>
      <c r="AY83" s="39"/>
      <c r="AZ83" s="97">
        <f t="shared" si="33"/>
        <v>0</v>
      </c>
      <c r="BA83" s="98"/>
      <c r="BB83" s="97">
        <f t="shared" si="34"/>
        <v>0</v>
      </c>
      <c r="BC83" s="90"/>
      <c r="BD83" s="89">
        <f t="shared" si="36"/>
        <v>0</v>
      </c>
      <c r="BE83" s="98"/>
      <c r="BF83" s="89">
        <f t="shared" si="35"/>
        <v>0</v>
      </c>
      <c r="BG83" s="99"/>
      <c r="BH83" s="66"/>
      <c r="BI83" s="89">
        <f t="shared" si="0"/>
        <v>38.75</v>
      </c>
      <c r="BJ83" s="89">
        <f t="shared" si="7"/>
        <v>0</v>
      </c>
      <c r="BK83" s="89">
        <f t="shared" si="32"/>
        <v>0</v>
      </c>
      <c r="BL83" s="89">
        <f t="shared" si="26"/>
        <v>0</v>
      </c>
      <c r="BM83" s="89">
        <f t="shared" si="1"/>
        <v>27.5</v>
      </c>
      <c r="BN83" s="89">
        <f t="shared" si="9"/>
        <v>0</v>
      </c>
      <c r="BO83" s="89">
        <f t="shared" si="10"/>
        <v>0</v>
      </c>
      <c r="BP83" s="89">
        <f t="shared" si="27"/>
        <v>0</v>
      </c>
      <c r="BQ83" s="89">
        <f t="shared" si="2"/>
        <v>20</v>
      </c>
      <c r="BR83" s="89">
        <f t="shared" si="11"/>
        <v>0</v>
      </c>
      <c r="BS83" s="89">
        <f t="shared" si="12"/>
        <v>0</v>
      </c>
      <c r="BT83" s="89">
        <f t="shared" si="28"/>
        <v>0</v>
      </c>
      <c r="BU83" s="89">
        <f t="shared" si="3"/>
        <v>13.75</v>
      </c>
      <c r="BV83" s="89">
        <f t="shared" si="13"/>
        <v>0</v>
      </c>
      <c r="BW83" s="89">
        <f t="shared" si="14"/>
        <v>0</v>
      </c>
      <c r="BX83" s="89">
        <f t="shared" si="29"/>
        <v>0</v>
      </c>
      <c r="BY83" s="89" t="e">
        <f t="shared" si="4"/>
        <v>#REF!</v>
      </c>
      <c r="BZ83" s="89" t="e">
        <f t="shared" si="15"/>
        <v>#REF!</v>
      </c>
      <c r="CA83" s="89" t="e">
        <f t="shared" si="16"/>
        <v>#REF!</v>
      </c>
      <c r="CB83" s="89" t="e">
        <f t="shared" si="30"/>
        <v>#REF!</v>
      </c>
    </row>
    <row r="84" spans="1:80" ht="14.25" hidden="1" customHeight="1">
      <c r="A84" s="93">
        <v>77</v>
      </c>
      <c r="B84" s="82"/>
      <c r="C84" s="82"/>
      <c r="D84" s="100"/>
      <c r="E84" s="82"/>
      <c r="F84" s="82"/>
      <c r="G84" s="82"/>
      <c r="H84" s="82"/>
      <c r="I84" s="96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97">
        <f t="shared" si="21"/>
        <v>0</v>
      </c>
      <c r="W84" s="184"/>
      <c r="X84" s="117"/>
      <c r="Y84" s="117"/>
      <c r="Z84" s="117"/>
      <c r="AA84" s="117"/>
      <c r="AB84" s="117"/>
      <c r="AC84" s="123"/>
      <c r="AD84" s="123"/>
      <c r="AE84" s="123"/>
      <c r="AF84" s="123"/>
      <c r="AG84" s="123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23"/>
      <c r="AT84" s="117"/>
      <c r="AU84" s="117"/>
      <c r="AV84" s="128"/>
      <c r="AW84" s="126">
        <f t="shared" si="31"/>
        <v>0</v>
      </c>
      <c r="AX84" s="39"/>
      <c r="AY84" s="39"/>
      <c r="AZ84" s="97">
        <f t="shared" si="33"/>
        <v>0</v>
      </c>
      <c r="BA84" s="98"/>
      <c r="BB84" s="97">
        <f t="shared" si="34"/>
        <v>0</v>
      </c>
      <c r="BC84" s="90"/>
      <c r="BD84" s="89">
        <f t="shared" si="36"/>
        <v>0</v>
      </c>
      <c r="BE84" s="98"/>
      <c r="BF84" s="89">
        <f t="shared" si="35"/>
        <v>0</v>
      </c>
      <c r="BG84" s="99"/>
      <c r="BH84" s="66"/>
      <c r="BI84" s="89">
        <f t="shared" si="0"/>
        <v>38.75</v>
      </c>
      <c r="BJ84" s="89">
        <f t="shared" si="7"/>
        <v>0</v>
      </c>
      <c r="BK84" s="89">
        <f t="shared" si="32"/>
        <v>0</v>
      </c>
      <c r="BL84" s="89">
        <f t="shared" si="26"/>
        <v>0</v>
      </c>
      <c r="BM84" s="89">
        <f t="shared" si="1"/>
        <v>27.5</v>
      </c>
      <c r="BN84" s="89">
        <f t="shared" si="9"/>
        <v>0</v>
      </c>
      <c r="BO84" s="89">
        <f t="shared" si="10"/>
        <v>0</v>
      </c>
      <c r="BP84" s="89">
        <f t="shared" si="27"/>
        <v>0</v>
      </c>
      <c r="BQ84" s="89">
        <f t="shared" si="2"/>
        <v>20</v>
      </c>
      <c r="BR84" s="89">
        <f t="shared" si="11"/>
        <v>0</v>
      </c>
      <c r="BS84" s="89">
        <f t="shared" si="12"/>
        <v>0</v>
      </c>
      <c r="BT84" s="89">
        <f t="shared" si="28"/>
        <v>0</v>
      </c>
      <c r="BU84" s="89">
        <f t="shared" si="3"/>
        <v>13.75</v>
      </c>
      <c r="BV84" s="89">
        <f t="shared" si="13"/>
        <v>0</v>
      </c>
      <c r="BW84" s="89">
        <f t="shared" si="14"/>
        <v>0</v>
      </c>
      <c r="BX84" s="89">
        <f t="shared" si="29"/>
        <v>0</v>
      </c>
      <c r="BY84" s="89" t="e">
        <f t="shared" si="4"/>
        <v>#REF!</v>
      </c>
      <c r="BZ84" s="89" t="e">
        <f t="shared" si="15"/>
        <v>#REF!</v>
      </c>
      <c r="CA84" s="89" t="e">
        <f t="shared" si="16"/>
        <v>#REF!</v>
      </c>
      <c r="CB84" s="89" t="e">
        <f t="shared" si="30"/>
        <v>#REF!</v>
      </c>
    </row>
    <row r="85" spans="1:80" ht="14.25" hidden="1" customHeight="1">
      <c r="A85" s="93">
        <v>78</v>
      </c>
      <c r="B85" s="82"/>
      <c r="C85" s="82"/>
      <c r="D85" s="100"/>
      <c r="E85" s="82"/>
      <c r="F85" s="82"/>
      <c r="G85" s="82"/>
      <c r="H85" s="82"/>
      <c r="I85" s="96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97">
        <f t="shared" si="21"/>
        <v>0</v>
      </c>
      <c r="W85" s="184"/>
      <c r="X85" s="117"/>
      <c r="Y85" s="117"/>
      <c r="Z85" s="117"/>
      <c r="AA85" s="117"/>
      <c r="AB85" s="117"/>
      <c r="AC85" s="123"/>
      <c r="AD85" s="123"/>
      <c r="AE85" s="123"/>
      <c r="AF85" s="123"/>
      <c r="AG85" s="123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23"/>
      <c r="AT85" s="117"/>
      <c r="AU85" s="117"/>
      <c r="AV85" s="128"/>
      <c r="AW85" s="126">
        <f t="shared" si="31"/>
        <v>0</v>
      </c>
      <c r="AX85" s="39"/>
      <c r="AY85" s="39"/>
      <c r="AZ85" s="97">
        <f t="shared" si="33"/>
        <v>0</v>
      </c>
      <c r="BA85" s="98"/>
      <c r="BB85" s="97">
        <f t="shared" si="34"/>
        <v>0</v>
      </c>
      <c r="BC85" s="90"/>
      <c r="BD85" s="89">
        <f t="shared" si="36"/>
        <v>0</v>
      </c>
      <c r="BE85" s="98"/>
      <c r="BF85" s="89">
        <f t="shared" si="35"/>
        <v>0</v>
      </c>
      <c r="BG85" s="99"/>
      <c r="BH85" s="66"/>
      <c r="BI85" s="89">
        <f t="shared" si="0"/>
        <v>38.75</v>
      </c>
      <c r="BJ85" s="89">
        <f t="shared" si="7"/>
        <v>0</v>
      </c>
      <c r="BK85" s="89">
        <f t="shared" si="32"/>
        <v>0</v>
      </c>
      <c r="BL85" s="89">
        <f t="shared" si="26"/>
        <v>0</v>
      </c>
      <c r="BM85" s="89">
        <f t="shared" si="1"/>
        <v>27.5</v>
      </c>
      <c r="BN85" s="89">
        <f t="shared" si="9"/>
        <v>0</v>
      </c>
      <c r="BO85" s="89">
        <f t="shared" si="10"/>
        <v>0</v>
      </c>
      <c r="BP85" s="89">
        <f t="shared" si="27"/>
        <v>0</v>
      </c>
      <c r="BQ85" s="89">
        <f t="shared" si="2"/>
        <v>20</v>
      </c>
      <c r="BR85" s="89">
        <f t="shared" si="11"/>
        <v>0</v>
      </c>
      <c r="BS85" s="89">
        <f t="shared" si="12"/>
        <v>0</v>
      </c>
      <c r="BT85" s="89">
        <f t="shared" si="28"/>
        <v>0</v>
      </c>
      <c r="BU85" s="89">
        <f t="shared" si="3"/>
        <v>13.75</v>
      </c>
      <c r="BV85" s="89">
        <f t="shared" si="13"/>
        <v>0</v>
      </c>
      <c r="BW85" s="89">
        <f t="shared" si="14"/>
        <v>0</v>
      </c>
      <c r="BX85" s="89">
        <f t="shared" si="29"/>
        <v>0</v>
      </c>
      <c r="BY85" s="89" t="e">
        <f t="shared" si="4"/>
        <v>#REF!</v>
      </c>
      <c r="BZ85" s="89" t="e">
        <f t="shared" si="15"/>
        <v>#REF!</v>
      </c>
      <c r="CA85" s="89" t="e">
        <f t="shared" si="16"/>
        <v>#REF!</v>
      </c>
      <c r="CB85" s="89" t="e">
        <f t="shared" si="30"/>
        <v>#REF!</v>
      </c>
    </row>
    <row r="86" spans="1:80" ht="14.25" hidden="1" customHeight="1">
      <c r="A86" s="93">
        <v>79</v>
      </c>
      <c r="B86" s="82"/>
      <c r="C86" s="82"/>
      <c r="D86" s="100"/>
      <c r="E86" s="82"/>
      <c r="F86" s="82"/>
      <c r="G86" s="82"/>
      <c r="H86" s="82"/>
      <c r="I86" s="96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97">
        <f t="shared" si="21"/>
        <v>0</v>
      </c>
      <c r="W86" s="184"/>
      <c r="X86" s="129"/>
      <c r="Y86" s="129"/>
      <c r="Z86" s="129"/>
      <c r="AA86" s="129"/>
      <c r="AB86" s="129"/>
      <c r="AC86" s="130"/>
      <c r="AD86" s="130"/>
      <c r="AE86" s="130"/>
      <c r="AF86" s="130"/>
      <c r="AG86" s="130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30"/>
      <c r="AT86" s="129"/>
      <c r="AU86" s="117"/>
      <c r="AV86" s="131"/>
      <c r="AW86" s="126">
        <f t="shared" si="31"/>
        <v>0</v>
      </c>
      <c r="AX86" s="39"/>
      <c r="AY86" s="39"/>
      <c r="AZ86" s="97">
        <f t="shared" si="33"/>
        <v>0</v>
      </c>
      <c r="BA86" s="98"/>
      <c r="BB86" s="97">
        <f t="shared" si="34"/>
        <v>0</v>
      </c>
      <c r="BC86" s="90"/>
      <c r="BD86" s="89">
        <f t="shared" si="36"/>
        <v>0</v>
      </c>
      <c r="BE86" s="98"/>
      <c r="BF86" s="89">
        <f t="shared" si="35"/>
        <v>0</v>
      </c>
      <c r="BG86" s="99"/>
      <c r="BH86" s="66"/>
      <c r="BI86" s="89">
        <f t="shared" si="0"/>
        <v>38.75</v>
      </c>
      <c r="BJ86" s="89">
        <f t="shared" si="7"/>
        <v>0</v>
      </c>
      <c r="BK86" s="89">
        <f t="shared" si="32"/>
        <v>0</v>
      </c>
      <c r="BL86" s="89">
        <f t="shared" si="26"/>
        <v>0</v>
      </c>
      <c r="BM86" s="89">
        <f t="shared" si="1"/>
        <v>27.5</v>
      </c>
      <c r="BN86" s="89">
        <f t="shared" si="9"/>
        <v>0</v>
      </c>
      <c r="BO86" s="89">
        <f t="shared" si="10"/>
        <v>0</v>
      </c>
      <c r="BP86" s="89">
        <f t="shared" si="27"/>
        <v>0</v>
      </c>
      <c r="BQ86" s="89">
        <f t="shared" si="2"/>
        <v>20</v>
      </c>
      <c r="BR86" s="89">
        <f t="shared" si="11"/>
        <v>0</v>
      </c>
      <c r="BS86" s="89">
        <f t="shared" si="12"/>
        <v>0</v>
      </c>
      <c r="BT86" s="89">
        <f t="shared" si="28"/>
        <v>0</v>
      </c>
      <c r="BU86" s="89">
        <f t="shared" si="3"/>
        <v>13.75</v>
      </c>
      <c r="BV86" s="89">
        <f t="shared" si="13"/>
        <v>0</v>
      </c>
      <c r="BW86" s="89">
        <f t="shared" si="14"/>
        <v>0</v>
      </c>
      <c r="BX86" s="89">
        <f t="shared" si="29"/>
        <v>0</v>
      </c>
      <c r="BY86" s="89" t="e">
        <f t="shared" si="4"/>
        <v>#REF!</v>
      </c>
      <c r="BZ86" s="89" t="e">
        <f t="shared" si="15"/>
        <v>#REF!</v>
      </c>
      <c r="CA86" s="89" t="e">
        <f t="shared" si="16"/>
        <v>#REF!</v>
      </c>
      <c r="CB86" s="89" t="e">
        <f t="shared" si="30"/>
        <v>#REF!</v>
      </c>
    </row>
    <row r="87" spans="1:80" ht="14.25" hidden="1" customHeight="1">
      <c r="A87" s="93">
        <v>80</v>
      </c>
      <c r="B87" s="82"/>
      <c r="C87" s="82"/>
      <c r="D87" s="100"/>
      <c r="E87" s="82"/>
      <c r="F87" s="82"/>
      <c r="G87" s="82"/>
      <c r="H87" s="82"/>
      <c r="I87" s="96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97">
        <f t="shared" si="21"/>
        <v>0</v>
      </c>
      <c r="W87" s="184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3"/>
      <c r="AT87" s="127"/>
      <c r="AU87" s="127"/>
      <c r="AV87" s="132"/>
      <c r="AW87" s="126">
        <f t="shared" si="31"/>
        <v>0</v>
      </c>
      <c r="AX87" s="39"/>
      <c r="AY87" s="39"/>
      <c r="AZ87" s="97">
        <f t="shared" si="33"/>
        <v>0</v>
      </c>
      <c r="BA87" s="98"/>
      <c r="BB87" s="97">
        <f t="shared" si="34"/>
        <v>0</v>
      </c>
      <c r="BC87" s="90"/>
      <c r="BD87" s="89">
        <f t="shared" si="36"/>
        <v>0</v>
      </c>
      <c r="BE87" s="98"/>
      <c r="BF87" s="89">
        <f t="shared" si="35"/>
        <v>0</v>
      </c>
      <c r="BG87" s="99"/>
      <c r="BH87" s="66"/>
      <c r="BI87" s="89">
        <f t="shared" si="0"/>
        <v>38.75</v>
      </c>
      <c r="BJ87" s="89">
        <f t="shared" si="7"/>
        <v>0</v>
      </c>
      <c r="BK87" s="89">
        <f t="shared" si="32"/>
        <v>0</v>
      </c>
      <c r="BL87" s="89">
        <f t="shared" si="26"/>
        <v>0</v>
      </c>
      <c r="BM87" s="89">
        <f t="shared" si="1"/>
        <v>27.5</v>
      </c>
      <c r="BN87" s="89">
        <f t="shared" si="9"/>
        <v>0</v>
      </c>
      <c r="BO87" s="89">
        <f t="shared" si="10"/>
        <v>0</v>
      </c>
      <c r="BP87" s="89">
        <f t="shared" si="27"/>
        <v>0</v>
      </c>
      <c r="BQ87" s="89">
        <f t="shared" si="2"/>
        <v>20</v>
      </c>
      <c r="BR87" s="89">
        <f t="shared" si="11"/>
        <v>0</v>
      </c>
      <c r="BS87" s="89">
        <f t="shared" si="12"/>
        <v>0</v>
      </c>
      <c r="BT87" s="89">
        <f t="shared" si="28"/>
        <v>0</v>
      </c>
      <c r="BU87" s="89">
        <f t="shared" si="3"/>
        <v>13.75</v>
      </c>
      <c r="BV87" s="89">
        <f t="shared" si="13"/>
        <v>0</v>
      </c>
      <c r="BW87" s="89">
        <f t="shared" si="14"/>
        <v>0</v>
      </c>
      <c r="BX87" s="89">
        <f t="shared" si="29"/>
        <v>0</v>
      </c>
      <c r="BY87" s="89" t="e">
        <f t="shared" si="4"/>
        <v>#REF!</v>
      </c>
      <c r="BZ87" s="89" t="e">
        <f t="shared" si="15"/>
        <v>#REF!</v>
      </c>
      <c r="CA87" s="89" t="e">
        <f t="shared" si="16"/>
        <v>#REF!</v>
      </c>
      <c r="CB87" s="89" t="e">
        <f t="shared" si="30"/>
        <v>#REF!</v>
      </c>
    </row>
    <row r="88" spans="1:80" ht="14.25" hidden="1" customHeight="1">
      <c r="A88" s="93">
        <v>81</v>
      </c>
      <c r="B88" s="82"/>
      <c r="C88" s="82"/>
      <c r="D88" s="100"/>
      <c r="E88" s="82"/>
      <c r="F88" s="82"/>
      <c r="G88" s="82"/>
      <c r="H88" s="82"/>
      <c r="I88" s="96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97">
        <f t="shared" si="21"/>
        <v>0</v>
      </c>
      <c r="W88" s="184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3"/>
      <c r="AT88" s="127"/>
      <c r="AU88" s="127"/>
      <c r="AV88" s="132"/>
      <c r="AW88" s="126">
        <f t="shared" si="31"/>
        <v>0</v>
      </c>
      <c r="AX88" s="39"/>
      <c r="AY88" s="39"/>
      <c r="AZ88" s="97">
        <f t="shared" si="33"/>
        <v>0</v>
      </c>
      <c r="BA88" s="98"/>
      <c r="BB88" s="97">
        <f t="shared" si="34"/>
        <v>0</v>
      </c>
      <c r="BC88" s="90"/>
      <c r="BD88" s="89">
        <f t="shared" si="36"/>
        <v>0</v>
      </c>
      <c r="BE88" s="98"/>
      <c r="BF88" s="89">
        <f t="shared" si="35"/>
        <v>0</v>
      </c>
      <c r="BG88" s="99"/>
      <c r="BH88" s="66"/>
      <c r="BI88" s="89">
        <f t="shared" si="0"/>
        <v>38.75</v>
      </c>
      <c r="BJ88" s="89">
        <f t="shared" si="7"/>
        <v>0</v>
      </c>
      <c r="BK88" s="89">
        <f t="shared" si="32"/>
        <v>0</v>
      </c>
      <c r="BL88" s="89">
        <f t="shared" si="26"/>
        <v>0</v>
      </c>
      <c r="BM88" s="89">
        <f t="shared" si="1"/>
        <v>27.5</v>
      </c>
      <c r="BN88" s="89">
        <f t="shared" si="9"/>
        <v>0</v>
      </c>
      <c r="BO88" s="89">
        <f t="shared" si="10"/>
        <v>0</v>
      </c>
      <c r="BP88" s="89">
        <f t="shared" si="27"/>
        <v>0</v>
      </c>
      <c r="BQ88" s="89">
        <f t="shared" si="2"/>
        <v>20</v>
      </c>
      <c r="BR88" s="89">
        <f t="shared" si="11"/>
        <v>0</v>
      </c>
      <c r="BS88" s="89">
        <f t="shared" si="12"/>
        <v>0</v>
      </c>
      <c r="BT88" s="89">
        <f t="shared" si="28"/>
        <v>0</v>
      </c>
      <c r="BU88" s="89">
        <f t="shared" si="3"/>
        <v>13.75</v>
      </c>
      <c r="BV88" s="89">
        <f t="shared" si="13"/>
        <v>0</v>
      </c>
      <c r="BW88" s="89">
        <f t="shared" si="14"/>
        <v>0</v>
      </c>
      <c r="BX88" s="89">
        <f t="shared" si="29"/>
        <v>0</v>
      </c>
      <c r="BY88" s="89" t="e">
        <f t="shared" si="4"/>
        <v>#REF!</v>
      </c>
      <c r="BZ88" s="89" t="e">
        <f t="shared" si="15"/>
        <v>#REF!</v>
      </c>
      <c r="CA88" s="89" t="e">
        <f t="shared" si="16"/>
        <v>#REF!</v>
      </c>
      <c r="CB88" s="89" t="e">
        <f t="shared" si="30"/>
        <v>#REF!</v>
      </c>
    </row>
    <row r="89" spans="1:80" ht="14.25" hidden="1" customHeight="1">
      <c r="A89" s="93">
        <v>82</v>
      </c>
      <c r="B89" s="82"/>
      <c r="C89" s="82"/>
      <c r="D89" s="100"/>
      <c r="E89" s="82"/>
      <c r="F89" s="82"/>
      <c r="G89" s="82"/>
      <c r="H89" s="82"/>
      <c r="I89" s="96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97">
        <f t="shared" si="21"/>
        <v>0</v>
      </c>
      <c r="W89" s="184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3"/>
      <c r="AT89" s="127"/>
      <c r="AU89" s="127"/>
      <c r="AV89" s="132"/>
      <c r="AW89" s="126">
        <f t="shared" si="31"/>
        <v>0</v>
      </c>
      <c r="AX89" s="39"/>
      <c r="AY89" s="39"/>
      <c r="AZ89" s="97">
        <f t="shared" si="33"/>
        <v>0</v>
      </c>
      <c r="BA89" s="98"/>
      <c r="BB89" s="97">
        <f t="shared" si="34"/>
        <v>0</v>
      </c>
      <c r="BC89" s="90"/>
      <c r="BD89" s="89">
        <f t="shared" si="36"/>
        <v>0</v>
      </c>
      <c r="BE89" s="98"/>
      <c r="BF89" s="89">
        <f t="shared" si="35"/>
        <v>0</v>
      </c>
      <c r="BG89" s="99"/>
      <c r="BH89" s="66"/>
      <c r="BI89" s="89">
        <f t="shared" si="0"/>
        <v>38.75</v>
      </c>
      <c r="BJ89" s="89">
        <f t="shared" si="7"/>
        <v>0</v>
      </c>
      <c r="BK89" s="89">
        <f t="shared" si="32"/>
        <v>0</v>
      </c>
      <c r="BL89" s="89">
        <f t="shared" si="26"/>
        <v>0</v>
      </c>
      <c r="BM89" s="89">
        <f t="shared" si="1"/>
        <v>27.5</v>
      </c>
      <c r="BN89" s="89">
        <f t="shared" si="9"/>
        <v>0</v>
      </c>
      <c r="BO89" s="89">
        <f t="shared" si="10"/>
        <v>0</v>
      </c>
      <c r="BP89" s="89">
        <f t="shared" si="27"/>
        <v>0</v>
      </c>
      <c r="BQ89" s="89">
        <f t="shared" si="2"/>
        <v>20</v>
      </c>
      <c r="BR89" s="89">
        <f t="shared" si="11"/>
        <v>0</v>
      </c>
      <c r="BS89" s="89">
        <f t="shared" si="12"/>
        <v>0</v>
      </c>
      <c r="BT89" s="89">
        <f t="shared" si="28"/>
        <v>0</v>
      </c>
      <c r="BU89" s="89">
        <f t="shared" si="3"/>
        <v>13.75</v>
      </c>
      <c r="BV89" s="89">
        <f t="shared" si="13"/>
        <v>0</v>
      </c>
      <c r="BW89" s="89">
        <f t="shared" si="14"/>
        <v>0</v>
      </c>
      <c r="BX89" s="89">
        <f t="shared" si="29"/>
        <v>0</v>
      </c>
      <c r="BY89" s="89" t="e">
        <f t="shared" si="4"/>
        <v>#REF!</v>
      </c>
      <c r="BZ89" s="89" t="e">
        <f t="shared" si="15"/>
        <v>#REF!</v>
      </c>
      <c r="CA89" s="89" t="e">
        <f t="shared" si="16"/>
        <v>#REF!</v>
      </c>
      <c r="CB89" s="89" t="e">
        <f t="shared" si="30"/>
        <v>#REF!</v>
      </c>
    </row>
    <row r="90" spans="1:80" ht="14.25" hidden="1" customHeight="1">
      <c r="A90" s="93">
        <v>83</v>
      </c>
      <c r="B90" s="82"/>
      <c r="C90" s="82"/>
      <c r="D90" s="100"/>
      <c r="E90" s="82"/>
      <c r="F90" s="82"/>
      <c r="G90" s="82"/>
      <c r="H90" s="82"/>
      <c r="I90" s="96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97">
        <f t="shared" si="21"/>
        <v>0</v>
      </c>
      <c r="W90" s="184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32"/>
      <c r="AW90" s="126">
        <f t="shared" si="31"/>
        <v>0</v>
      </c>
      <c r="AX90" s="39"/>
      <c r="AY90" s="39"/>
      <c r="AZ90" s="97">
        <f t="shared" si="33"/>
        <v>0</v>
      </c>
      <c r="BA90" s="98"/>
      <c r="BB90" s="97">
        <f t="shared" si="34"/>
        <v>0</v>
      </c>
      <c r="BC90" s="90"/>
      <c r="BD90" s="89">
        <f t="shared" si="36"/>
        <v>0</v>
      </c>
      <c r="BE90" s="98"/>
      <c r="BF90" s="89">
        <f t="shared" si="35"/>
        <v>0</v>
      </c>
      <c r="BG90" s="99"/>
      <c r="BH90" s="66"/>
      <c r="BI90" s="89">
        <f t="shared" si="0"/>
        <v>38.75</v>
      </c>
      <c r="BJ90" s="89">
        <f t="shared" si="7"/>
        <v>0</v>
      </c>
      <c r="BK90" s="89">
        <f t="shared" si="32"/>
        <v>0</v>
      </c>
      <c r="BL90" s="89">
        <f t="shared" si="26"/>
        <v>0</v>
      </c>
      <c r="BM90" s="89">
        <f t="shared" si="1"/>
        <v>27.5</v>
      </c>
      <c r="BN90" s="89">
        <f t="shared" si="9"/>
        <v>0</v>
      </c>
      <c r="BO90" s="89">
        <f t="shared" si="10"/>
        <v>0</v>
      </c>
      <c r="BP90" s="89">
        <f t="shared" si="27"/>
        <v>0</v>
      </c>
      <c r="BQ90" s="89">
        <f t="shared" si="2"/>
        <v>20</v>
      </c>
      <c r="BR90" s="89">
        <f t="shared" si="11"/>
        <v>0</v>
      </c>
      <c r="BS90" s="89">
        <f t="shared" si="12"/>
        <v>0</v>
      </c>
      <c r="BT90" s="89">
        <f t="shared" si="28"/>
        <v>0</v>
      </c>
      <c r="BU90" s="89">
        <f t="shared" si="3"/>
        <v>13.75</v>
      </c>
      <c r="BV90" s="89">
        <f t="shared" si="13"/>
        <v>0</v>
      </c>
      <c r="BW90" s="89">
        <f t="shared" si="14"/>
        <v>0</v>
      </c>
      <c r="BX90" s="89">
        <f t="shared" si="29"/>
        <v>0</v>
      </c>
      <c r="BY90" s="89" t="e">
        <f t="shared" si="4"/>
        <v>#REF!</v>
      </c>
      <c r="BZ90" s="89" t="e">
        <f t="shared" si="15"/>
        <v>#REF!</v>
      </c>
      <c r="CA90" s="89" t="e">
        <f t="shared" si="16"/>
        <v>#REF!</v>
      </c>
      <c r="CB90" s="89" t="e">
        <f t="shared" si="30"/>
        <v>#REF!</v>
      </c>
    </row>
    <row r="91" spans="1:80" ht="14.25" hidden="1" customHeight="1">
      <c r="A91" s="93">
        <v>84</v>
      </c>
      <c r="B91" s="82"/>
      <c r="C91" s="82"/>
      <c r="D91" s="100"/>
      <c r="E91" s="82"/>
      <c r="F91" s="82"/>
      <c r="G91" s="82"/>
      <c r="H91" s="82"/>
      <c r="I91" s="96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97">
        <f t="shared" si="21"/>
        <v>0</v>
      </c>
      <c r="W91" s="184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32"/>
      <c r="AW91" s="126">
        <f t="shared" si="31"/>
        <v>0</v>
      </c>
      <c r="AX91" s="39"/>
      <c r="AY91" s="39"/>
      <c r="AZ91" s="97">
        <f t="shared" si="33"/>
        <v>0</v>
      </c>
      <c r="BA91" s="98"/>
      <c r="BB91" s="97">
        <f t="shared" si="34"/>
        <v>0</v>
      </c>
      <c r="BC91" s="90"/>
      <c r="BD91" s="89">
        <f t="shared" si="36"/>
        <v>0</v>
      </c>
      <c r="BE91" s="98"/>
      <c r="BF91" s="89">
        <f t="shared" si="35"/>
        <v>0</v>
      </c>
      <c r="BG91" s="99"/>
      <c r="BH91" s="66"/>
      <c r="BI91" s="89">
        <f t="shared" si="0"/>
        <v>38.75</v>
      </c>
      <c r="BJ91" s="89">
        <f t="shared" si="7"/>
        <v>0</v>
      </c>
      <c r="BK91" s="89">
        <f t="shared" si="32"/>
        <v>0</v>
      </c>
      <c r="BL91" s="89">
        <f t="shared" si="26"/>
        <v>0</v>
      </c>
      <c r="BM91" s="89">
        <f t="shared" si="1"/>
        <v>27.5</v>
      </c>
      <c r="BN91" s="89">
        <f t="shared" si="9"/>
        <v>0</v>
      </c>
      <c r="BO91" s="89">
        <f t="shared" si="10"/>
        <v>0</v>
      </c>
      <c r="BP91" s="89">
        <f t="shared" si="27"/>
        <v>0</v>
      </c>
      <c r="BQ91" s="89">
        <f t="shared" si="2"/>
        <v>20</v>
      </c>
      <c r="BR91" s="89">
        <f t="shared" si="11"/>
        <v>0</v>
      </c>
      <c r="BS91" s="89">
        <f t="shared" si="12"/>
        <v>0</v>
      </c>
      <c r="BT91" s="89">
        <f t="shared" si="28"/>
        <v>0</v>
      </c>
      <c r="BU91" s="89">
        <f t="shared" si="3"/>
        <v>13.75</v>
      </c>
      <c r="BV91" s="89">
        <f t="shared" si="13"/>
        <v>0</v>
      </c>
      <c r="BW91" s="89">
        <f t="shared" si="14"/>
        <v>0</v>
      </c>
      <c r="BX91" s="89">
        <f t="shared" si="29"/>
        <v>0</v>
      </c>
      <c r="BY91" s="89" t="e">
        <f t="shared" si="4"/>
        <v>#REF!</v>
      </c>
      <c r="BZ91" s="89" t="e">
        <f t="shared" si="15"/>
        <v>#REF!</v>
      </c>
      <c r="CA91" s="89" t="e">
        <f t="shared" si="16"/>
        <v>#REF!</v>
      </c>
      <c r="CB91" s="89" t="e">
        <f t="shared" si="30"/>
        <v>#REF!</v>
      </c>
    </row>
    <row r="92" spans="1:80" ht="14.25" hidden="1" customHeight="1">
      <c r="A92" s="93">
        <v>85</v>
      </c>
      <c r="B92" s="82"/>
      <c r="C92" s="82"/>
      <c r="D92" s="100"/>
      <c r="E92" s="82"/>
      <c r="F92" s="82"/>
      <c r="G92" s="82"/>
      <c r="H92" s="82"/>
      <c r="I92" s="96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97">
        <f t="shared" si="21"/>
        <v>0</v>
      </c>
      <c r="W92" s="184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32"/>
      <c r="AW92" s="126">
        <f t="shared" si="31"/>
        <v>0</v>
      </c>
      <c r="AX92" s="39"/>
      <c r="AY92" s="39"/>
      <c r="AZ92" s="97">
        <f t="shared" si="33"/>
        <v>0</v>
      </c>
      <c r="BA92" s="98"/>
      <c r="BB92" s="97">
        <f t="shared" si="34"/>
        <v>0</v>
      </c>
      <c r="BC92" s="90"/>
      <c r="BD92" s="89">
        <f t="shared" si="36"/>
        <v>0</v>
      </c>
      <c r="BE92" s="98"/>
      <c r="BF92" s="89">
        <f t="shared" si="35"/>
        <v>0</v>
      </c>
      <c r="BG92" s="99"/>
      <c r="BH92" s="66"/>
      <c r="BI92" s="89">
        <f t="shared" si="0"/>
        <v>38.75</v>
      </c>
      <c r="BJ92" s="89">
        <f t="shared" si="7"/>
        <v>0</v>
      </c>
      <c r="BK92" s="89">
        <f t="shared" si="32"/>
        <v>0</v>
      </c>
      <c r="BL92" s="89">
        <f t="shared" si="26"/>
        <v>0</v>
      </c>
      <c r="BM92" s="89">
        <f t="shared" si="1"/>
        <v>27.5</v>
      </c>
      <c r="BN92" s="89">
        <f t="shared" si="9"/>
        <v>0</v>
      </c>
      <c r="BO92" s="89">
        <f t="shared" si="10"/>
        <v>0</v>
      </c>
      <c r="BP92" s="89">
        <f t="shared" si="27"/>
        <v>0</v>
      </c>
      <c r="BQ92" s="89">
        <f t="shared" si="2"/>
        <v>20</v>
      </c>
      <c r="BR92" s="89">
        <f t="shared" si="11"/>
        <v>0</v>
      </c>
      <c r="BS92" s="89">
        <f t="shared" si="12"/>
        <v>0</v>
      </c>
      <c r="BT92" s="89">
        <f t="shared" si="28"/>
        <v>0</v>
      </c>
      <c r="BU92" s="89">
        <f t="shared" si="3"/>
        <v>13.75</v>
      </c>
      <c r="BV92" s="89">
        <f t="shared" si="13"/>
        <v>0</v>
      </c>
      <c r="BW92" s="89">
        <f t="shared" si="14"/>
        <v>0</v>
      </c>
      <c r="BX92" s="89">
        <f t="shared" si="29"/>
        <v>0</v>
      </c>
      <c r="BY92" s="89" t="e">
        <f t="shared" si="4"/>
        <v>#REF!</v>
      </c>
      <c r="BZ92" s="89" t="e">
        <f t="shared" si="15"/>
        <v>#REF!</v>
      </c>
      <c r="CA92" s="89" t="e">
        <f t="shared" si="16"/>
        <v>#REF!</v>
      </c>
      <c r="CB92" s="89" t="e">
        <f t="shared" si="30"/>
        <v>#REF!</v>
      </c>
    </row>
    <row r="93" spans="1:80" ht="14.25" hidden="1" customHeight="1">
      <c r="A93" s="93">
        <v>86</v>
      </c>
      <c r="B93" s="82"/>
      <c r="C93" s="82"/>
      <c r="D93" s="100"/>
      <c r="E93" s="82"/>
      <c r="F93" s="82"/>
      <c r="G93" s="82"/>
      <c r="H93" s="82"/>
      <c r="I93" s="96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97">
        <f t="shared" si="21"/>
        <v>0</v>
      </c>
      <c r="W93" s="184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32"/>
      <c r="AW93" s="126">
        <f t="shared" si="31"/>
        <v>0</v>
      </c>
      <c r="AX93" s="39"/>
      <c r="AY93" s="39"/>
      <c r="AZ93" s="97">
        <f t="shared" si="33"/>
        <v>0</v>
      </c>
      <c r="BA93" s="98"/>
      <c r="BB93" s="97">
        <f t="shared" si="34"/>
        <v>0</v>
      </c>
      <c r="BC93" s="90"/>
      <c r="BD93" s="89">
        <f t="shared" si="36"/>
        <v>0</v>
      </c>
      <c r="BE93" s="98"/>
      <c r="BF93" s="89">
        <f t="shared" si="35"/>
        <v>0</v>
      </c>
      <c r="BG93" s="99"/>
      <c r="BH93" s="66"/>
      <c r="BI93" s="89">
        <f t="shared" si="0"/>
        <v>38.75</v>
      </c>
      <c r="BJ93" s="89">
        <f t="shared" si="7"/>
        <v>0</v>
      </c>
      <c r="BK93" s="89">
        <f t="shared" si="32"/>
        <v>0</v>
      </c>
      <c r="BL93" s="89">
        <f t="shared" si="26"/>
        <v>0</v>
      </c>
      <c r="BM93" s="89">
        <f t="shared" si="1"/>
        <v>27.5</v>
      </c>
      <c r="BN93" s="89">
        <f t="shared" si="9"/>
        <v>0</v>
      </c>
      <c r="BO93" s="89">
        <f t="shared" si="10"/>
        <v>0</v>
      </c>
      <c r="BP93" s="89">
        <f t="shared" si="27"/>
        <v>0</v>
      </c>
      <c r="BQ93" s="89">
        <f t="shared" si="2"/>
        <v>20</v>
      </c>
      <c r="BR93" s="89">
        <f t="shared" si="11"/>
        <v>0</v>
      </c>
      <c r="BS93" s="89">
        <f t="shared" si="12"/>
        <v>0</v>
      </c>
      <c r="BT93" s="89">
        <f t="shared" si="28"/>
        <v>0</v>
      </c>
      <c r="BU93" s="89">
        <f t="shared" si="3"/>
        <v>13.75</v>
      </c>
      <c r="BV93" s="89">
        <f t="shared" si="13"/>
        <v>0</v>
      </c>
      <c r="BW93" s="89">
        <f t="shared" si="14"/>
        <v>0</v>
      </c>
      <c r="BX93" s="89">
        <f t="shared" si="29"/>
        <v>0</v>
      </c>
      <c r="BY93" s="89" t="e">
        <f t="shared" si="4"/>
        <v>#REF!</v>
      </c>
      <c r="BZ93" s="89" t="e">
        <f t="shared" si="15"/>
        <v>#REF!</v>
      </c>
      <c r="CA93" s="89" t="e">
        <f t="shared" si="16"/>
        <v>#REF!</v>
      </c>
      <c r="CB93" s="89" t="e">
        <f t="shared" si="30"/>
        <v>#REF!</v>
      </c>
    </row>
    <row r="94" spans="1:80" ht="14.25" hidden="1" customHeight="1">
      <c r="A94" s="93">
        <v>87</v>
      </c>
      <c r="B94" s="82"/>
      <c r="C94" s="82"/>
      <c r="D94" s="100"/>
      <c r="E94" s="82"/>
      <c r="F94" s="82"/>
      <c r="G94" s="82"/>
      <c r="H94" s="82"/>
      <c r="I94" s="96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97">
        <f t="shared" si="21"/>
        <v>0</v>
      </c>
      <c r="W94" s="184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32"/>
      <c r="AW94" s="126">
        <f t="shared" si="31"/>
        <v>0</v>
      </c>
      <c r="AX94" s="39"/>
      <c r="AY94" s="39"/>
      <c r="AZ94" s="97">
        <f t="shared" si="33"/>
        <v>0</v>
      </c>
      <c r="BA94" s="98"/>
      <c r="BB94" s="97">
        <f t="shared" si="34"/>
        <v>0</v>
      </c>
      <c r="BC94" s="90"/>
      <c r="BD94" s="89">
        <f t="shared" si="36"/>
        <v>0</v>
      </c>
      <c r="BE94" s="98"/>
      <c r="BF94" s="89">
        <f t="shared" si="35"/>
        <v>0</v>
      </c>
      <c r="BG94" s="99"/>
      <c r="BH94" s="66"/>
      <c r="BI94" s="89">
        <f t="shared" si="0"/>
        <v>38.75</v>
      </c>
      <c r="BJ94" s="89">
        <f t="shared" si="7"/>
        <v>0</v>
      </c>
      <c r="BK94" s="89">
        <f t="shared" si="32"/>
        <v>0</v>
      </c>
      <c r="BL94" s="89">
        <f t="shared" si="26"/>
        <v>0</v>
      </c>
      <c r="BM94" s="89">
        <f t="shared" si="1"/>
        <v>27.5</v>
      </c>
      <c r="BN94" s="89">
        <f t="shared" si="9"/>
        <v>0</v>
      </c>
      <c r="BO94" s="89">
        <f t="shared" si="10"/>
        <v>0</v>
      </c>
      <c r="BP94" s="89">
        <f t="shared" si="27"/>
        <v>0</v>
      </c>
      <c r="BQ94" s="89">
        <f t="shared" si="2"/>
        <v>20</v>
      </c>
      <c r="BR94" s="89">
        <f t="shared" si="11"/>
        <v>0</v>
      </c>
      <c r="BS94" s="89">
        <f t="shared" si="12"/>
        <v>0</v>
      </c>
      <c r="BT94" s="89">
        <f t="shared" si="28"/>
        <v>0</v>
      </c>
      <c r="BU94" s="89">
        <f t="shared" si="3"/>
        <v>13.75</v>
      </c>
      <c r="BV94" s="89">
        <f t="shared" si="13"/>
        <v>0</v>
      </c>
      <c r="BW94" s="89">
        <f t="shared" si="14"/>
        <v>0</v>
      </c>
      <c r="BX94" s="89">
        <f t="shared" si="29"/>
        <v>0</v>
      </c>
      <c r="BY94" s="89" t="e">
        <f t="shared" si="4"/>
        <v>#REF!</v>
      </c>
      <c r="BZ94" s="89" t="e">
        <f t="shared" si="15"/>
        <v>#REF!</v>
      </c>
      <c r="CA94" s="89" t="e">
        <f t="shared" si="16"/>
        <v>#REF!</v>
      </c>
      <c r="CB94" s="89" t="e">
        <f t="shared" si="30"/>
        <v>#REF!</v>
      </c>
    </row>
    <row r="95" spans="1:80" ht="14.25" hidden="1" customHeight="1">
      <c r="A95" s="93">
        <v>88</v>
      </c>
      <c r="B95" s="82"/>
      <c r="C95" s="82"/>
      <c r="D95" s="100"/>
      <c r="E95" s="82"/>
      <c r="F95" s="82"/>
      <c r="G95" s="82"/>
      <c r="H95" s="82"/>
      <c r="I95" s="96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97">
        <f t="shared" si="21"/>
        <v>0</v>
      </c>
      <c r="W95" s="184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32"/>
      <c r="AW95" s="126">
        <f t="shared" si="31"/>
        <v>0</v>
      </c>
      <c r="AX95" s="39"/>
      <c r="AY95" s="39"/>
      <c r="AZ95" s="97">
        <f t="shared" si="33"/>
        <v>0</v>
      </c>
      <c r="BA95" s="98"/>
      <c r="BB95" s="97">
        <f t="shared" si="34"/>
        <v>0</v>
      </c>
      <c r="BC95" s="90"/>
      <c r="BD95" s="89">
        <f t="shared" si="36"/>
        <v>0</v>
      </c>
      <c r="BE95" s="98"/>
      <c r="BF95" s="89">
        <f t="shared" si="35"/>
        <v>0</v>
      </c>
      <c r="BG95" s="99"/>
      <c r="BH95" s="66"/>
      <c r="BI95" s="89">
        <f t="shared" si="0"/>
        <v>38.75</v>
      </c>
      <c r="BJ95" s="89">
        <f t="shared" si="7"/>
        <v>0</v>
      </c>
      <c r="BK95" s="89">
        <f t="shared" si="32"/>
        <v>0</v>
      </c>
      <c r="BL95" s="89">
        <f t="shared" si="26"/>
        <v>0</v>
      </c>
      <c r="BM95" s="89">
        <f t="shared" si="1"/>
        <v>27.5</v>
      </c>
      <c r="BN95" s="89">
        <f t="shared" si="9"/>
        <v>0</v>
      </c>
      <c r="BO95" s="89">
        <f t="shared" si="10"/>
        <v>0</v>
      </c>
      <c r="BP95" s="89">
        <f t="shared" si="27"/>
        <v>0</v>
      </c>
      <c r="BQ95" s="89">
        <f t="shared" si="2"/>
        <v>20</v>
      </c>
      <c r="BR95" s="89">
        <f t="shared" si="11"/>
        <v>0</v>
      </c>
      <c r="BS95" s="89">
        <f t="shared" si="12"/>
        <v>0</v>
      </c>
      <c r="BT95" s="89">
        <f t="shared" si="28"/>
        <v>0</v>
      </c>
      <c r="BU95" s="89">
        <f t="shared" si="3"/>
        <v>13.75</v>
      </c>
      <c r="BV95" s="89">
        <f t="shared" si="13"/>
        <v>0</v>
      </c>
      <c r="BW95" s="89">
        <f t="shared" si="14"/>
        <v>0</v>
      </c>
      <c r="BX95" s="89">
        <f t="shared" si="29"/>
        <v>0</v>
      </c>
      <c r="BY95" s="89" t="e">
        <f t="shared" si="4"/>
        <v>#REF!</v>
      </c>
      <c r="BZ95" s="89" t="e">
        <f t="shared" si="15"/>
        <v>#REF!</v>
      </c>
      <c r="CA95" s="89" t="e">
        <f t="shared" si="16"/>
        <v>#REF!</v>
      </c>
      <c r="CB95" s="89" t="e">
        <f t="shared" si="30"/>
        <v>#REF!</v>
      </c>
    </row>
    <row r="96" spans="1:80" ht="14.25" hidden="1" customHeight="1">
      <c r="A96" s="93">
        <v>89</v>
      </c>
      <c r="B96" s="82"/>
      <c r="C96" s="82"/>
      <c r="D96" s="100"/>
      <c r="E96" s="82"/>
      <c r="F96" s="82"/>
      <c r="G96" s="82"/>
      <c r="H96" s="82"/>
      <c r="I96" s="96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97">
        <f t="shared" si="21"/>
        <v>0</v>
      </c>
      <c r="W96" s="184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32"/>
      <c r="AW96" s="126">
        <f t="shared" si="31"/>
        <v>0</v>
      </c>
      <c r="AX96" s="39"/>
      <c r="AY96" s="39"/>
      <c r="AZ96" s="97">
        <f t="shared" si="33"/>
        <v>0</v>
      </c>
      <c r="BA96" s="98"/>
      <c r="BB96" s="97">
        <f t="shared" si="34"/>
        <v>0</v>
      </c>
      <c r="BC96" s="90"/>
      <c r="BD96" s="89">
        <f t="shared" si="36"/>
        <v>0</v>
      </c>
      <c r="BE96" s="98"/>
      <c r="BF96" s="89">
        <f t="shared" si="35"/>
        <v>0</v>
      </c>
      <c r="BG96" s="99"/>
      <c r="BH96" s="66"/>
      <c r="BI96" s="89">
        <f t="shared" si="0"/>
        <v>38.75</v>
      </c>
      <c r="BJ96" s="89">
        <f t="shared" si="7"/>
        <v>0</v>
      </c>
      <c r="BK96" s="89">
        <f t="shared" si="32"/>
        <v>0</v>
      </c>
      <c r="BL96" s="89">
        <f t="shared" si="26"/>
        <v>0</v>
      </c>
      <c r="BM96" s="89">
        <f t="shared" si="1"/>
        <v>27.5</v>
      </c>
      <c r="BN96" s="89">
        <f t="shared" si="9"/>
        <v>0</v>
      </c>
      <c r="BO96" s="89">
        <f t="shared" si="10"/>
        <v>0</v>
      </c>
      <c r="BP96" s="89">
        <f t="shared" si="27"/>
        <v>0</v>
      </c>
      <c r="BQ96" s="89">
        <f t="shared" si="2"/>
        <v>20</v>
      </c>
      <c r="BR96" s="89">
        <f t="shared" si="11"/>
        <v>0</v>
      </c>
      <c r="BS96" s="89">
        <f t="shared" si="12"/>
        <v>0</v>
      </c>
      <c r="BT96" s="89">
        <f t="shared" si="28"/>
        <v>0</v>
      </c>
      <c r="BU96" s="89">
        <f t="shared" si="3"/>
        <v>13.75</v>
      </c>
      <c r="BV96" s="89">
        <f t="shared" si="13"/>
        <v>0</v>
      </c>
      <c r="BW96" s="89">
        <f t="shared" si="14"/>
        <v>0</v>
      </c>
      <c r="BX96" s="89">
        <f t="shared" si="29"/>
        <v>0</v>
      </c>
      <c r="BY96" s="89" t="e">
        <f t="shared" si="4"/>
        <v>#REF!</v>
      </c>
      <c r="BZ96" s="89" t="e">
        <f t="shared" si="15"/>
        <v>#REF!</v>
      </c>
      <c r="CA96" s="89" t="e">
        <f t="shared" si="16"/>
        <v>#REF!</v>
      </c>
      <c r="CB96" s="89" t="e">
        <f t="shared" si="30"/>
        <v>#REF!</v>
      </c>
    </row>
    <row r="97" spans="1:80" ht="14.25" hidden="1" customHeight="1">
      <c r="A97" s="93">
        <v>90</v>
      </c>
      <c r="B97" s="82"/>
      <c r="C97" s="82"/>
      <c r="D97" s="100"/>
      <c r="E97" s="82"/>
      <c r="F97" s="82"/>
      <c r="G97" s="82"/>
      <c r="H97" s="82"/>
      <c r="I97" s="96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97">
        <f t="shared" si="21"/>
        <v>0</v>
      </c>
      <c r="W97" s="184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32"/>
      <c r="AW97" s="126">
        <f t="shared" si="31"/>
        <v>0</v>
      </c>
      <c r="AX97" s="39"/>
      <c r="AY97" s="39"/>
      <c r="AZ97" s="97">
        <f t="shared" si="33"/>
        <v>0</v>
      </c>
      <c r="BA97" s="98"/>
      <c r="BB97" s="97">
        <f t="shared" si="34"/>
        <v>0</v>
      </c>
      <c r="BC97" s="90"/>
      <c r="BD97" s="89">
        <f t="shared" si="36"/>
        <v>0</v>
      </c>
      <c r="BE97" s="98"/>
      <c r="BF97" s="89">
        <f t="shared" si="35"/>
        <v>0</v>
      </c>
      <c r="BG97" s="99"/>
      <c r="BH97" s="66"/>
      <c r="BI97" s="89">
        <f t="shared" si="0"/>
        <v>38.75</v>
      </c>
      <c r="BJ97" s="89">
        <f t="shared" si="7"/>
        <v>0</v>
      </c>
      <c r="BK97" s="89">
        <f t="shared" si="32"/>
        <v>0</v>
      </c>
      <c r="BL97" s="89">
        <f t="shared" si="26"/>
        <v>0</v>
      </c>
      <c r="BM97" s="89">
        <f t="shared" si="1"/>
        <v>27.5</v>
      </c>
      <c r="BN97" s="89">
        <f t="shared" si="9"/>
        <v>0</v>
      </c>
      <c r="BO97" s="89">
        <f t="shared" si="10"/>
        <v>0</v>
      </c>
      <c r="BP97" s="89">
        <f t="shared" si="27"/>
        <v>0</v>
      </c>
      <c r="BQ97" s="89">
        <f t="shared" si="2"/>
        <v>20</v>
      </c>
      <c r="BR97" s="89">
        <f t="shared" si="11"/>
        <v>0</v>
      </c>
      <c r="BS97" s="89">
        <f t="shared" si="12"/>
        <v>0</v>
      </c>
      <c r="BT97" s="89">
        <f t="shared" si="28"/>
        <v>0</v>
      </c>
      <c r="BU97" s="89">
        <f t="shared" si="3"/>
        <v>13.75</v>
      </c>
      <c r="BV97" s="89">
        <f t="shared" si="13"/>
        <v>0</v>
      </c>
      <c r="BW97" s="89">
        <f t="shared" si="14"/>
        <v>0</v>
      </c>
      <c r="BX97" s="89">
        <f t="shared" si="29"/>
        <v>0</v>
      </c>
      <c r="BY97" s="89" t="e">
        <f t="shared" si="4"/>
        <v>#REF!</v>
      </c>
      <c r="BZ97" s="89" t="e">
        <f t="shared" si="15"/>
        <v>#REF!</v>
      </c>
      <c r="CA97" s="89" t="e">
        <f t="shared" si="16"/>
        <v>#REF!</v>
      </c>
      <c r="CB97" s="89" t="e">
        <f t="shared" si="30"/>
        <v>#REF!</v>
      </c>
    </row>
    <row r="98" spans="1:80" ht="14.25" hidden="1" customHeight="1">
      <c r="A98" s="93">
        <v>91</v>
      </c>
      <c r="B98" s="82"/>
      <c r="C98" s="82"/>
      <c r="D98" s="100"/>
      <c r="E98" s="82"/>
      <c r="F98" s="82"/>
      <c r="G98" s="82"/>
      <c r="H98" s="82"/>
      <c r="I98" s="96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97">
        <f t="shared" si="21"/>
        <v>0</v>
      </c>
      <c r="W98" s="184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32"/>
      <c r="AW98" s="126">
        <f t="shared" si="31"/>
        <v>0</v>
      </c>
      <c r="AX98" s="39"/>
      <c r="AY98" s="39"/>
      <c r="AZ98" s="97">
        <f t="shared" si="33"/>
        <v>0</v>
      </c>
      <c r="BA98" s="98"/>
      <c r="BB98" s="97">
        <f t="shared" si="34"/>
        <v>0</v>
      </c>
      <c r="BC98" s="90"/>
      <c r="BD98" s="89">
        <f t="shared" si="36"/>
        <v>0</v>
      </c>
      <c r="BE98" s="98"/>
      <c r="BF98" s="89">
        <f t="shared" si="35"/>
        <v>0</v>
      </c>
      <c r="BG98" s="99"/>
      <c r="BH98" s="66"/>
      <c r="BI98" s="89">
        <f t="shared" si="0"/>
        <v>38.75</v>
      </c>
      <c r="BJ98" s="89">
        <f t="shared" si="7"/>
        <v>0</v>
      </c>
      <c r="BK98" s="89">
        <f t="shared" si="32"/>
        <v>0</v>
      </c>
      <c r="BL98" s="89">
        <f t="shared" si="26"/>
        <v>0</v>
      </c>
      <c r="BM98" s="89">
        <f t="shared" si="1"/>
        <v>27.5</v>
      </c>
      <c r="BN98" s="89">
        <f t="shared" si="9"/>
        <v>0</v>
      </c>
      <c r="BO98" s="89">
        <f t="shared" si="10"/>
        <v>0</v>
      </c>
      <c r="BP98" s="89">
        <f t="shared" si="27"/>
        <v>0</v>
      </c>
      <c r="BQ98" s="89">
        <f t="shared" si="2"/>
        <v>20</v>
      </c>
      <c r="BR98" s="89">
        <f t="shared" si="11"/>
        <v>0</v>
      </c>
      <c r="BS98" s="89">
        <f t="shared" si="12"/>
        <v>0</v>
      </c>
      <c r="BT98" s="89">
        <f t="shared" si="28"/>
        <v>0</v>
      </c>
      <c r="BU98" s="89">
        <f t="shared" si="3"/>
        <v>13.75</v>
      </c>
      <c r="BV98" s="89">
        <f t="shared" si="13"/>
        <v>0</v>
      </c>
      <c r="BW98" s="89">
        <f t="shared" si="14"/>
        <v>0</v>
      </c>
      <c r="BX98" s="89">
        <f t="shared" si="29"/>
        <v>0</v>
      </c>
      <c r="BY98" s="89" t="e">
        <f t="shared" si="4"/>
        <v>#REF!</v>
      </c>
      <c r="BZ98" s="89" t="e">
        <f t="shared" si="15"/>
        <v>#REF!</v>
      </c>
      <c r="CA98" s="89" t="e">
        <f t="shared" si="16"/>
        <v>#REF!</v>
      </c>
      <c r="CB98" s="89" t="e">
        <f t="shared" si="30"/>
        <v>#REF!</v>
      </c>
    </row>
    <row r="99" spans="1:80" ht="14.25" hidden="1" customHeight="1">
      <c r="A99" s="93">
        <v>92</v>
      </c>
      <c r="B99" s="82"/>
      <c r="C99" s="82"/>
      <c r="D99" s="100"/>
      <c r="E99" s="82"/>
      <c r="F99" s="82"/>
      <c r="G99" s="82"/>
      <c r="H99" s="82"/>
      <c r="I99" s="96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97">
        <f t="shared" si="21"/>
        <v>0</v>
      </c>
      <c r="W99" s="184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32"/>
      <c r="AW99" s="126">
        <f t="shared" si="31"/>
        <v>0</v>
      </c>
      <c r="AX99" s="39"/>
      <c r="AY99" s="39"/>
      <c r="AZ99" s="97">
        <f t="shared" ref="AZ99:AZ130" si="37">SUM(D99:H99)</f>
        <v>0</v>
      </c>
      <c r="BA99" s="98"/>
      <c r="BB99" s="97">
        <f t="shared" ref="BB99:BB130" si="38">SUM(I99:O99)</f>
        <v>0</v>
      </c>
      <c r="BC99" s="90"/>
      <c r="BD99" s="89">
        <f t="shared" si="36"/>
        <v>0</v>
      </c>
      <c r="BE99" s="98"/>
      <c r="BF99" s="89">
        <f t="shared" ref="BF99:BF130" si="39">SUM(T99:U99)</f>
        <v>0</v>
      </c>
      <c r="BG99" s="99"/>
      <c r="BH99" s="66"/>
      <c r="BI99" s="89">
        <f t="shared" si="0"/>
        <v>38.75</v>
      </c>
      <c r="BJ99" s="89">
        <f t="shared" si="7"/>
        <v>0</v>
      </c>
      <c r="BK99" s="89">
        <f t="shared" si="32"/>
        <v>0</v>
      </c>
      <c r="BL99" s="89">
        <f t="shared" si="26"/>
        <v>0</v>
      </c>
      <c r="BM99" s="89">
        <f t="shared" si="1"/>
        <v>27.5</v>
      </c>
      <c r="BN99" s="89">
        <f t="shared" si="9"/>
        <v>0</v>
      </c>
      <c r="BO99" s="89">
        <f t="shared" si="10"/>
        <v>0</v>
      </c>
      <c r="BP99" s="89">
        <f t="shared" si="27"/>
        <v>0</v>
      </c>
      <c r="BQ99" s="89">
        <f t="shared" si="2"/>
        <v>20</v>
      </c>
      <c r="BR99" s="89">
        <f t="shared" si="11"/>
        <v>0</v>
      </c>
      <c r="BS99" s="89">
        <f t="shared" si="12"/>
        <v>0</v>
      </c>
      <c r="BT99" s="89">
        <f t="shared" si="28"/>
        <v>0</v>
      </c>
      <c r="BU99" s="89">
        <f t="shared" si="3"/>
        <v>13.75</v>
      </c>
      <c r="BV99" s="89">
        <f t="shared" si="13"/>
        <v>0</v>
      </c>
      <c r="BW99" s="89">
        <f t="shared" si="14"/>
        <v>0</v>
      </c>
      <c r="BX99" s="89">
        <f t="shared" si="29"/>
        <v>0</v>
      </c>
      <c r="BY99" s="89" t="e">
        <f t="shared" si="4"/>
        <v>#REF!</v>
      </c>
      <c r="BZ99" s="89" t="e">
        <f t="shared" si="15"/>
        <v>#REF!</v>
      </c>
      <c r="CA99" s="89" t="e">
        <f t="shared" si="16"/>
        <v>#REF!</v>
      </c>
      <c r="CB99" s="89" t="e">
        <f t="shared" si="30"/>
        <v>#REF!</v>
      </c>
    </row>
    <row r="100" spans="1:80" ht="14.25" hidden="1" customHeight="1">
      <c r="A100" s="93">
        <v>93</v>
      </c>
      <c r="B100" s="82"/>
      <c r="C100" s="82"/>
      <c r="D100" s="100"/>
      <c r="E100" s="82"/>
      <c r="F100" s="82"/>
      <c r="G100" s="82"/>
      <c r="H100" s="82"/>
      <c r="I100" s="96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97">
        <f t="shared" si="21"/>
        <v>0</v>
      </c>
      <c r="W100" s="184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32"/>
      <c r="AW100" s="126">
        <f t="shared" si="31"/>
        <v>0</v>
      </c>
      <c r="AX100" s="39"/>
      <c r="AY100" s="39"/>
      <c r="AZ100" s="97">
        <f t="shared" si="37"/>
        <v>0</v>
      </c>
      <c r="BA100" s="98"/>
      <c r="BB100" s="97">
        <f t="shared" si="38"/>
        <v>0</v>
      </c>
      <c r="BC100" s="90"/>
      <c r="BD100" s="89">
        <f t="shared" si="36"/>
        <v>0</v>
      </c>
      <c r="BE100" s="98"/>
      <c r="BF100" s="89">
        <f t="shared" si="39"/>
        <v>0</v>
      </c>
      <c r="BG100" s="99"/>
      <c r="BH100" s="66"/>
      <c r="BI100" s="89">
        <f t="shared" si="0"/>
        <v>38.75</v>
      </c>
      <c r="BJ100" s="89">
        <f t="shared" si="7"/>
        <v>0</v>
      </c>
      <c r="BK100" s="89">
        <f t="shared" si="32"/>
        <v>0</v>
      </c>
      <c r="BL100" s="89">
        <f t="shared" si="26"/>
        <v>0</v>
      </c>
      <c r="BM100" s="89">
        <f t="shared" si="1"/>
        <v>27.5</v>
      </c>
      <c r="BN100" s="89">
        <f t="shared" si="9"/>
        <v>0</v>
      </c>
      <c r="BO100" s="89">
        <f t="shared" si="10"/>
        <v>0</v>
      </c>
      <c r="BP100" s="89">
        <f t="shared" si="27"/>
        <v>0</v>
      </c>
      <c r="BQ100" s="89">
        <f t="shared" si="2"/>
        <v>20</v>
      </c>
      <c r="BR100" s="89">
        <f t="shared" si="11"/>
        <v>0</v>
      </c>
      <c r="BS100" s="89">
        <f t="shared" si="12"/>
        <v>0</v>
      </c>
      <c r="BT100" s="89">
        <f t="shared" si="28"/>
        <v>0</v>
      </c>
      <c r="BU100" s="89">
        <f t="shared" si="3"/>
        <v>13.75</v>
      </c>
      <c r="BV100" s="89">
        <f t="shared" si="13"/>
        <v>0</v>
      </c>
      <c r="BW100" s="89">
        <f t="shared" si="14"/>
        <v>0</v>
      </c>
      <c r="BX100" s="89">
        <f t="shared" si="29"/>
        <v>0</v>
      </c>
      <c r="BY100" s="89" t="e">
        <f t="shared" si="4"/>
        <v>#REF!</v>
      </c>
      <c r="BZ100" s="89" t="e">
        <f t="shared" si="15"/>
        <v>#REF!</v>
      </c>
      <c r="CA100" s="89" t="e">
        <f t="shared" si="16"/>
        <v>#REF!</v>
      </c>
      <c r="CB100" s="89" t="e">
        <f t="shared" si="30"/>
        <v>#REF!</v>
      </c>
    </row>
    <row r="101" spans="1:80" ht="14.25" hidden="1" customHeight="1">
      <c r="A101" s="93">
        <v>94</v>
      </c>
      <c r="B101" s="82"/>
      <c r="C101" s="82"/>
      <c r="D101" s="100"/>
      <c r="E101" s="82"/>
      <c r="F101" s="82"/>
      <c r="G101" s="82"/>
      <c r="H101" s="82"/>
      <c r="I101" s="96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97">
        <f t="shared" si="21"/>
        <v>0</v>
      </c>
      <c r="W101" s="184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32"/>
      <c r="AW101" s="126">
        <f t="shared" si="31"/>
        <v>0</v>
      </c>
      <c r="AX101" s="39"/>
      <c r="AY101" s="39"/>
      <c r="AZ101" s="97">
        <f t="shared" si="37"/>
        <v>0</v>
      </c>
      <c r="BA101" s="98"/>
      <c r="BB101" s="97">
        <f t="shared" si="38"/>
        <v>0</v>
      </c>
      <c r="BC101" s="90"/>
      <c r="BD101" s="89">
        <f t="shared" si="36"/>
        <v>0</v>
      </c>
      <c r="BE101" s="98"/>
      <c r="BF101" s="89">
        <f t="shared" si="39"/>
        <v>0</v>
      </c>
      <c r="BG101" s="99"/>
      <c r="BH101" s="66"/>
      <c r="BI101" s="89">
        <f t="shared" si="0"/>
        <v>38.75</v>
      </c>
      <c r="BJ101" s="89">
        <f t="shared" si="7"/>
        <v>0</v>
      </c>
      <c r="BK101" s="89">
        <f t="shared" si="32"/>
        <v>0</v>
      </c>
      <c r="BL101" s="89">
        <f t="shared" si="26"/>
        <v>0</v>
      </c>
      <c r="BM101" s="89">
        <f t="shared" si="1"/>
        <v>27.5</v>
      </c>
      <c r="BN101" s="89">
        <f t="shared" si="9"/>
        <v>0</v>
      </c>
      <c r="BO101" s="89">
        <f t="shared" si="10"/>
        <v>0</v>
      </c>
      <c r="BP101" s="89">
        <f t="shared" si="27"/>
        <v>0</v>
      </c>
      <c r="BQ101" s="89">
        <f t="shared" si="2"/>
        <v>20</v>
      </c>
      <c r="BR101" s="89">
        <f t="shared" si="11"/>
        <v>0</v>
      </c>
      <c r="BS101" s="89">
        <f t="shared" si="12"/>
        <v>0</v>
      </c>
      <c r="BT101" s="89">
        <f t="shared" si="28"/>
        <v>0</v>
      </c>
      <c r="BU101" s="89">
        <f t="shared" si="3"/>
        <v>13.75</v>
      </c>
      <c r="BV101" s="89">
        <f t="shared" si="13"/>
        <v>0</v>
      </c>
      <c r="BW101" s="89">
        <f t="shared" si="14"/>
        <v>0</v>
      </c>
      <c r="BX101" s="89">
        <f t="shared" si="29"/>
        <v>0</v>
      </c>
      <c r="BY101" s="89" t="e">
        <f t="shared" si="4"/>
        <v>#REF!</v>
      </c>
      <c r="BZ101" s="89" t="e">
        <f t="shared" si="15"/>
        <v>#REF!</v>
      </c>
      <c r="CA101" s="89" t="e">
        <f t="shared" si="16"/>
        <v>#REF!</v>
      </c>
      <c r="CB101" s="89" t="e">
        <f t="shared" si="30"/>
        <v>#REF!</v>
      </c>
    </row>
    <row r="102" spans="1:80" ht="14.25" hidden="1" customHeight="1">
      <c r="A102" s="93">
        <v>95</v>
      </c>
      <c r="B102" s="82"/>
      <c r="C102" s="82"/>
      <c r="D102" s="100"/>
      <c r="E102" s="82"/>
      <c r="F102" s="82"/>
      <c r="G102" s="82"/>
      <c r="H102" s="82"/>
      <c r="I102" s="96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97">
        <f t="shared" si="21"/>
        <v>0</v>
      </c>
      <c r="W102" s="184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32"/>
      <c r="AW102" s="126">
        <f t="shared" si="31"/>
        <v>0</v>
      </c>
      <c r="AX102" s="39"/>
      <c r="AY102" s="39"/>
      <c r="AZ102" s="97">
        <f t="shared" si="37"/>
        <v>0</v>
      </c>
      <c r="BA102" s="98"/>
      <c r="BB102" s="97">
        <f t="shared" si="38"/>
        <v>0</v>
      </c>
      <c r="BC102" s="90"/>
      <c r="BD102" s="89">
        <f t="shared" si="36"/>
        <v>0</v>
      </c>
      <c r="BE102" s="98"/>
      <c r="BF102" s="89">
        <f t="shared" si="39"/>
        <v>0</v>
      </c>
      <c r="BG102" s="99"/>
      <c r="BH102" s="66"/>
      <c r="BI102" s="89">
        <f t="shared" si="0"/>
        <v>38.75</v>
      </c>
      <c r="BJ102" s="89">
        <f t="shared" si="7"/>
        <v>0</v>
      </c>
      <c r="BK102" s="89">
        <f t="shared" si="32"/>
        <v>0</v>
      </c>
      <c r="BL102" s="89">
        <f t="shared" si="26"/>
        <v>0</v>
      </c>
      <c r="BM102" s="89">
        <f t="shared" si="1"/>
        <v>27.5</v>
      </c>
      <c r="BN102" s="89">
        <f t="shared" si="9"/>
        <v>0</v>
      </c>
      <c r="BO102" s="89">
        <f t="shared" si="10"/>
        <v>0</v>
      </c>
      <c r="BP102" s="89">
        <f t="shared" si="27"/>
        <v>0</v>
      </c>
      <c r="BQ102" s="89">
        <f t="shared" si="2"/>
        <v>20</v>
      </c>
      <c r="BR102" s="89">
        <f t="shared" si="11"/>
        <v>0</v>
      </c>
      <c r="BS102" s="89">
        <f t="shared" si="12"/>
        <v>0</v>
      </c>
      <c r="BT102" s="89">
        <f t="shared" si="28"/>
        <v>0</v>
      </c>
      <c r="BU102" s="89">
        <f t="shared" si="3"/>
        <v>13.75</v>
      </c>
      <c r="BV102" s="89">
        <f t="shared" si="13"/>
        <v>0</v>
      </c>
      <c r="BW102" s="89">
        <f t="shared" si="14"/>
        <v>0</v>
      </c>
      <c r="BX102" s="89">
        <f t="shared" si="29"/>
        <v>0</v>
      </c>
      <c r="BY102" s="89" t="e">
        <f t="shared" si="4"/>
        <v>#REF!</v>
      </c>
      <c r="BZ102" s="89" t="e">
        <f t="shared" si="15"/>
        <v>#REF!</v>
      </c>
      <c r="CA102" s="89" t="e">
        <f t="shared" si="16"/>
        <v>#REF!</v>
      </c>
      <c r="CB102" s="89" t="e">
        <f t="shared" si="30"/>
        <v>#REF!</v>
      </c>
    </row>
    <row r="103" spans="1:80" ht="14.25" hidden="1" customHeight="1">
      <c r="A103" s="93">
        <v>96</v>
      </c>
      <c r="B103" s="82"/>
      <c r="C103" s="82"/>
      <c r="D103" s="100"/>
      <c r="E103" s="82"/>
      <c r="F103" s="82"/>
      <c r="G103" s="82"/>
      <c r="H103" s="82"/>
      <c r="I103" s="96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97">
        <f t="shared" si="21"/>
        <v>0</v>
      </c>
      <c r="W103" s="184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32"/>
      <c r="AW103" s="126">
        <f t="shared" si="31"/>
        <v>0</v>
      </c>
      <c r="AX103" s="39"/>
      <c r="AY103" s="39"/>
      <c r="AZ103" s="97">
        <f t="shared" si="37"/>
        <v>0</v>
      </c>
      <c r="BA103" s="98"/>
      <c r="BB103" s="97">
        <f t="shared" si="38"/>
        <v>0</v>
      </c>
      <c r="BC103" s="90"/>
      <c r="BD103" s="89">
        <f t="shared" si="36"/>
        <v>0</v>
      </c>
      <c r="BE103" s="98"/>
      <c r="BF103" s="89">
        <f t="shared" si="39"/>
        <v>0</v>
      </c>
      <c r="BG103" s="99"/>
      <c r="BH103" s="66"/>
      <c r="BI103" s="89">
        <f t="shared" si="0"/>
        <v>38.75</v>
      </c>
      <c r="BJ103" s="89">
        <f t="shared" si="7"/>
        <v>0</v>
      </c>
      <c r="BK103" s="89">
        <f t="shared" si="32"/>
        <v>0</v>
      </c>
      <c r="BL103" s="89">
        <f t="shared" si="26"/>
        <v>0</v>
      </c>
      <c r="BM103" s="89">
        <f t="shared" si="1"/>
        <v>27.5</v>
      </c>
      <c r="BN103" s="89">
        <f t="shared" si="9"/>
        <v>0</v>
      </c>
      <c r="BO103" s="89">
        <f t="shared" si="10"/>
        <v>0</v>
      </c>
      <c r="BP103" s="89">
        <f t="shared" si="27"/>
        <v>0</v>
      </c>
      <c r="BQ103" s="89">
        <f t="shared" si="2"/>
        <v>20</v>
      </c>
      <c r="BR103" s="89">
        <f t="shared" si="11"/>
        <v>0</v>
      </c>
      <c r="BS103" s="89">
        <f t="shared" si="12"/>
        <v>0</v>
      </c>
      <c r="BT103" s="89">
        <f t="shared" si="28"/>
        <v>0</v>
      </c>
      <c r="BU103" s="89">
        <f t="shared" si="3"/>
        <v>13.75</v>
      </c>
      <c r="BV103" s="89">
        <f t="shared" si="13"/>
        <v>0</v>
      </c>
      <c r="BW103" s="89">
        <f t="shared" si="14"/>
        <v>0</v>
      </c>
      <c r="BX103" s="89">
        <f t="shared" si="29"/>
        <v>0</v>
      </c>
      <c r="BY103" s="89" t="e">
        <f t="shared" si="4"/>
        <v>#REF!</v>
      </c>
      <c r="BZ103" s="89" t="e">
        <f t="shared" si="15"/>
        <v>#REF!</v>
      </c>
      <c r="CA103" s="89" t="e">
        <f t="shared" si="16"/>
        <v>#REF!</v>
      </c>
      <c r="CB103" s="89" t="e">
        <f t="shared" si="30"/>
        <v>#REF!</v>
      </c>
    </row>
    <row r="104" spans="1:80" ht="14.25" hidden="1" customHeight="1">
      <c r="A104" s="93">
        <v>97</v>
      </c>
      <c r="B104" s="82"/>
      <c r="C104" s="82"/>
      <c r="D104" s="100"/>
      <c r="E104" s="82"/>
      <c r="F104" s="82"/>
      <c r="G104" s="82"/>
      <c r="H104" s="82"/>
      <c r="I104" s="96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97">
        <f t="shared" si="21"/>
        <v>0</v>
      </c>
      <c r="W104" s="184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32"/>
      <c r="AW104" s="126">
        <f t="shared" si="31"/>
        <v>0</v>
      </c>
      <c r="AX104" s="39"/>
      <c r="AY104" s="39"/>
      <c r="AZ104" s="97">
        <f t="shared" si="37"/>
        <v>0</v>
      </c>
      <c r="BA104" s="98"/>
      <c r="BB104" s="97">
        <f t="shared" si="38"/>
        <v>0</v>
      </c>
      <c r="BC104" s="90"/>
      <c r="BD104" s="89">
        <f t="shared" si="36"/>
        <v>0</v>
      </c>
      <c r="BE104" s="98"/>
      <c r="BF104" s="89">
        <f t="shared" si="39"/>
        <v>0</v>
      </c>
      <c r="BG104" s="99"/>
      <c r="BH104" s="66"/>
      <c r="BI104" s="89">
        <f t="shared" si="0"/>
        <v>38.75</v>
      </c>
      <c r="BJ104" s="89">
        <f t="shared" si="7"/>
        <v>0</v>
      </c>
      <c r="BK104" s="89">
        <f t="shared" si="32"/>
        <v>0</v>
      </c>
      <c r="BL104" s="89">
        <f t="shared" si="26"/>
        <v>0</v>
      </c>
      <c r="BM104" s="89">
        <f t="shared" si="1"/>
        <v>27.5</v>
      </c>
      <c r="BN104" s="89">
        <f t="shared" si="9"/>
        <v>0</v>
      </c>
      <c r="BO104" s="89">
        <f t="shared" si="10"/>
        <v>0</v>
      </c>
      <c r="BP104" s="89">
        <f t="shared" si="27"/>
        <v>0</v>
      </c>
      <c r="BQ104" s="89">
        <f t="shared" si="2"/>
        <v>20</v>
      </c>
      <c r="BR104" s="89">
        <f t="shared" si="11"/>
        <v>0</v>
      </c>
      <c r="BS104" s="89">
        <f t="shared" si="12"/>
        <v>0</v>
      </c>
      <c r="BT104" s="89">
        <f t="shared" si="28"/>
        <v>0</v>
      </c>
      <c r="BU104" s="89">
        <f t="shared" si="3"/>
        <v>13.75</v>
      </c>
      <c r="BV104" s="89">
        <f t="shared" si="13"/>
        <v>0</v>
      </c>
      <c r="BW104" s="89">
        <f t="shared" si="14"/>
        <v>0</v>
      </c>
      <c r="BX104" s="89">
        <f t="shared" si="29"/>
        <v>0</v>
      </c>
      <c r="BY104" s="89" t="e">
        <f t="shared" si="4"/>
        <v>#REF!</v>
      </c>
      <c r="BZ104" s="89" t="e">
        <f t="shared" si="15"/>
        <v>#REF!</v>
      </c>
      <c r="CA104" s="89" t="e">
        <f t="shared" si="16"/>
        <v>#REF!</v>
      </c>
      <c r="CB104" s="89" t="e">
        <f t="shared" si="30"/>
        <v>#REF!</v>
      </c>
    </row>
    <row r="105" spans="1:80" ht="14.25" hidden="1" customHeight="1">
      <c r="A105" s="93">
        <v>98</v>
      </c>
      <c r="B105" s="82"/>
      <c r="C105" s="82"/>
      <c r="D105" s="100"/>
      <c r="E105" s="82"/>
      <c r="F105" s="82"/>
      <c r="G105" s="82"/>
      <c r="H105" s="82"/>
      <c r="I105" s="96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97">
        <f t="shared" si="21"/>
        <v>0</v>
      </c>
      <c r="W105" s="184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32"/>
      <c r="AW105" s="126">
        <f t="shared" si="31"/>
        <v>0</v>
      </c>
      <c r="AX105" s="39"/>
      <c r="AY105" s="39"/>
      <c r="AZ105" s="97">
        <f t="shared" si="37"/>
        <v>0</v>
      </c>
      <c r="BA105" s="98"/>
      <c r="BB105" s="97">
        <f t="shared" si="38"/>
        <v>0</v>
      </c>
      <c r="BC105" s="90"/>
      <c r="BD105" s="89">
        <f t="shared" si="36"/>
        <v>0</v>
      </c>
      <c r="BE105" s="98"/>
      <c r="BF105" s="89">
        <f t="shared" si="39"/>
        <v>0</v>
      </c>
      <c r="BG105" s="99"/>
      <c r="BH105" s="66"/>
      <c r="BI105" s="89">
        <f t="shared" si="0"/>
        <v>38.75</v>
      </c>
      <c r="BJ105" s="89">
        <f t="shared" si="7"/>
        <v>0</v>
      </c>
      <c r="BK105" s="89">
        <f t="shared" si="32"/>
        <v>0</v>
      </c>
      <c r="BL105" s="89">
        <f t="shared" si="26"/>
        <v>0</v>
      </c>
      <c r="BM105" s="89">
        <f t="shared" si="1"/>
        <v>27.5</v>
      </c>
      <c r="BN105" s="89">
        <f t="shared" si="9"/>
        <v>0</v>
      </c>
      <c r="BO105" s="89">
        <f t="shared" si="10"/>
        <v>0</v>
      </c>
      <c r="BP105" s="89">
        <f t="shared" si="27"/>
        <v>0</v>
      </c>
      <c r="BQ105" s="89">
        <f t="shared" si="2"/>
        <v>20</v>
      </c>
      <c r="BR105" s="89">
        <f t="shared" si="11"/>
        <v>0</v>
      </c>
      <c r="BS105" s="89">
        <f t="shared" si="12"/>
        <v>0</v>
      </c>
      <c r="BT105" s="89">
        <f t="shared" si="28"/>
        <v>0</v>
      </c>
      <c r="BU105" s="89">
        <f t="shared" si="3"/>
        <v>13.75</v>
      </c>
      <c r="BV105" s="89">
        <f t="shared" si="13"/>
        <v>0</v>
      </c>
      <c r="BW105" s="89">
        <f t="shared" si="14"/>
        <v>0</v>
      </c>
      <c r="BX105" s="89">
        <f t="shared" si="29"/>
        <v>0</v>
      </c>
      <c r="BY105" s="89" t="e">
        <f t="shared" si="4"/>
        <v>#REF!</v>
      </c>
      <c r="BZ105" s="89" t="e">
        <f t="shared" si="15"/>
        <v>#REF!</v>
      </c>
      <c r="CA105" s="89" t="e">
        <f t="shared" si="16"/>
        <v>#REF!</v>
      </c>
      <c r="CB105" s="89" t="e">
        <f t="shared" si="30"/>
        <v>#REF!</v>
      </c>
    </row>
    <row r="106" spans="1:80" ht="14.25" hidden="1" customHeight="1">
      <c r="A106" s="93">
        <v>99</v>
      </c>
      <c r="B106" s="82"/>
      <c r="C106" s="82"/>
      <c r="D106" s="100"/>
      <c r="E106" s="82"/>
      <c r="F106" s="82"/>
      <c r="G106" s="82"/>
      <c r="H106" s="82"/>
      <c r="I106" s="96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97">
        <f t="shared" si="21"/>
        <v>0</v>
      </c>
      <c r="W106" s="184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32"/>
      <c r="AW106" s="126">
        <f t="shared" si="31"/>
        <v>0</v>
      </c>
      <c r="AX106" s="39"/>
      <c r="AY106" s="39"/>
      <c r="AZ106" s="97">
        <f t="shared" si="37"/>
        <v>0</v>
      </c>
      <c r="BA106" s="98"/>
      <c r="BB106" s="97">
        <f t="shared" si="38"/>
        <v>0</v>
      </c>
      <c r="BC106" s="90"/>
      <c r="BD106" s="89">
        <f t="shared" si="36"/>
        <v>0</v>
      </c>
      <c r="BE106" s="98"/>
      <c r="BF106" s="89">
        <f t="shared" si="39"/>
        <v>0</v>
      </c>
      <c r="BG106" s="99"/>
      <c r="BH106" s="66"/>
      <c r="BI106" s="89">
        <f t="shared" si="0"/>
        <v>38.75</v>
      </c>
      <c r="BJ106" s="89">
        <f t="shared" si="7"/>
        <v>0</v>
      </c>
      <c r="BK106" s="89">
        <f t="shared" si="32"/>
        <v>0</v>
      </c>
      <c r="BL106" s="89">
        <f t="shared" si="26"/>
        <v>0</v>
      </c>
      <c r="BM106" s="89">
        <f t="shared" si="1"/>
        <v>27.5</v>
      </c>
      <c r="BN106" s="89">
        <f t="shared" si="9"/>
        <v>0</v>
      </c>
      <c r="BO106" s="89">
        <f t="shared" si="10"/>
        <v>0</v>
      </c>
      <c r="BP106" s="89">
        <f t="shared" si="27"/>
        <v>0</v>
      </c>
      <c r="BQ106" s="89">
        <f t="shared" si="2"/>
        <v>20</v>
      </c>
      <c r="BR106" s="89">
        <f t="shared" si="11"/>
        <v>0</v>
      </c>
      <c r="BS106" s="89">
        <f t="shared" si="12"/>
        <v>0</v>
      </c>
      <c r="BT106" s="89">
        <f t="shared" si="28"/>
        <v>0</v>
      </c>
      <c r="BU106" s="89">
        <f t="shared" si="3"/>
        <v>13.75</v>
      </c>
      <c r="BV106" s="89">
        <f t="shared" si="13"/>
        <v>0</v>
      </c>
      <c r="BW106" s="89">
        <f t="shared" si="14"/>
        <v>0</v>
      </c>
      <c r="BX106" s="89">
        <f t="shared" si="29"/>
        <v>0</v>
      </c>
      <c r="BY106" s="89" t="e">
        <f t="shared" si="4"/>
        <v>#REF!</v>
      </c>
      <c r="BZ106" s="89" t="e">
        <f t="shared" si="15"/>
        <v>#REF!</v>
      </c>
      <c r="CA106" s="89" t="e">
        <f t="shared" si="16"/>
        <v>#REF!</v>
      </c>
      <c r="CB106" s="89" t="e">
        <f t="shared" si="30"/>
        <v>#REF!</v>
      </c>
    </row>
    <row r="107" spans="1:80" ht="14.25" hidden="1" customHeight="1">
      <c r="A107" s="93">
        <v>100</v>
      </c>
      <c r="B107" s="82"/>
      <c r="C107" s="82"/>
      <c r="D107" s="100"/>
      <c r="E107" s="82"/>
      <c r="F107" s="82"/>
      <c r="G107" s="82"/>
      <c r="H107" s="82"/>
      <c r="I107" s="96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97">
        <f t="shared" si="21"/>
        <v>0</v>
      </c>
      <c r="W107" s="184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32"/>
      <c r="AW107" s="126">
        <f t="shared" si="31"/>
        <v>0</v>
      </c>
      <c r="AX107" s="39"/>
      <c r="AY107" s="39"/>
      <c r="AZ107" s="97">
        <f t="shared" si="37"/>
        <v>0</v>
      </c>
      <c r="BA107" s="98"/>
      <c r="BB107" s="97">
        <f t="shared" si="38"/>
        <v>0</v>
      </c>
      <c r="BC107" s="90"/>
      <c r="BD107" s="89">
        <f t="shared" si="36"/>
        <v>0</v>
      </c>
      <c r="BE107" s="98"/>
      <c r="BF107" s="89">
        <f t="shared" si="39"/>
        <v>0</v>
      </c>
      <c r="BG107" s="99"/>
      <c r="BH107" s="66"/>
      <c r="BI107" s="89">
        <f t="shared" si="0"/>
        <v>38.75</v>
      </c>
      <c r="BJ107" s="89">
        <f t="shared" si="7"/>
        <v>0</v>
      </c>
      <c r="BK107" s="89">
        <f t="shared" si="32"/>
        <v>0</v>
      </c>
      <c r="BL107" s="89">
        <f t="shared" si="26"/>
        <v>0</v>
      </c>
      <c r="BM107" s="89">
        <f t="shared" si="1"/>
        <v>27.5</v>
      </c>
      <c r="BN107" s="89">
        <f t="shared" si="9"/>
        <v>0</v>
      </c>
      <c r="BO107" s="89">
        <f t="shared" si="10"/>
        <v>0</v>
      </c>
      <c r="BP107" s="89">
        <f t="shared" si="27"/>
        <v>0</v>
      </c>
      <c r="BQ107" s="89">
        <f t="shared" si="2"/>
        <v>20</v>
      </c>
      <c r="BR107" s="89">
        <f t="shared" si="11"/>
        <v>0</v>
      </c>
      <c r="BS107" s="89">
        <f t="shared" si="12"/>
        <v>0</v>
      </c>
      <c r="BT107" s="89">
        <f t="shared" si="28"/>
        <v>0</v>
      </c>
      <c r="BU107" s="89">
        <f t="shared" si="3"/>
        <v>13.75</v>
      </c>
      <c r="BV107" s="89">
        <f t="shared" si="13"/>
        <v>0</v>
      </c>
      <c r="BW107" s="89">
        <f t="shared" si="14"/>
        <v>0</v>
      </c>
      <c r="BX107" s="89">
        <f t="shared" si="29"/>
        <v>0</v>
      </c>
      <c r="BY107" s="89" t="e">
        <f t="shared" si="4"/>
        <v>#REF!</v>
      </c>
      <c r="BZ107" s="89" t="e">
        <f t="shared" si="15"/>
        <v>#REF!</v>
      </c>
      <c r="CA107" s="89" t="e">
        <f t="shared" si="16"/>
        <v>#REF!</v>
      </c>
      <c r="CB107" s="89" t="e">
        <f t="shared" si="30"/>
        <v>#REF!</v>
      </c>
    </row>
    <row r="108" spans="1:80" ht="14.25" hidden="1" customHeight="1">
      <c r="A108" s="93">
        <v>101</v>
      </c>
      <c r="B108" s="82"/>
      <c r="C108" s="82"/>
      <c r="D108" s="100"/>
      <c r="E108" s="82"/>
      <c r="F108" s="82"/>
      <c r="G108" s="82"/>
      <c r="H108" s="82"/>
      <c r="I108" s="96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97">
        <f t="shared" si="21"/>
        <v>0</v>
      </c>
      <c r="W108" s="184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32"/>
      <c r="AW108" s="126">
        <f t="shared" si="31"/>
        <v>0</v>
      </c>
      <c r="AX108" s="39"/>
      <c r="AY108" s="39"/>
      <c r="AZ108" s="97">
        <f t="shared" si="37"/>
        <v>0</v>
      </c>
      <c r="BA108" s="98"/>
      <c r="BB108" s="97">
        <f t="shared" si="38"/>
        <v>0</v>
      </c>
      <c r="BC108" s="90"/>
      <c r="BD108" s="89">
        <f t="shared" si="36"/>
        <v>0</v>
      </c>
      <c r="BE108" s="98"/>
      <c r="BF108" s="89">
        <f t="shared" si="39"/>
        <v>0</v>
      </c>
      <c r="BG108" s="99"/>
      <c r="BH108" s="66"/>
      <c r="BI108" s="89">
        <f t="shared" si="0"/>
        <v>38.75</v>
      </c>
      <c r="BJ108" s="89">
        <f t="shared" si="7"/>
        <v>0</v>
      </c>
      <c r="BK108" s="89">
        <f t="shared" si="32"/>
        <v>0</v>
      </c>
      <c r="BL108" s="89">
        <f t="shared" si="26"/>
        <v>0</v>
      </c>
      <c r="BM108" s="89">
        <f t="shared" si="1"/>
        <v>27.5</v>
      </c>
      <c r="BN108" s="89">
        <f t="shared" si="9"/>
        <v>0</v>
      </c>
      <c r="BO108" s="89">
        <f t="shared" si="10"/>
        <v>0</v>
      </c>
      <c r="BP108" s="89">
        <f t="shared" si="27"/>
        <v>0</v>
      </c>
      <c r="BQ108" s="89">
        <f t="shared" si="2"/>
        <v>20</v>
      </c>
      <c r="BR108" s="89">
        <f t="shared" si="11"/>
        <v>0</v>
      </c>
      <c r="BS108" s="89">
        <f t="shared" si="12"/>
        <v>0</v>
      </c>
      <c r="BT108" s="89">
        <f t="shared" si="28"/>
        <v>0</v>
      </c>
      <c r="BU108" s="89">
        <f t="shared" si="3"/>
        <v>13.75</v>
      </c>
      <c r="BV108" s="89">
        <f t="shared" si="13"/>
        <v>0</v>
      </c>
      <c r="BW108" s="89">
        <f t="shared" si="14"/>
        <v>0</v>
      </c>
      <c r="BX108" s="89">
        <f t="shared" si="29"/>
        <v>0</v>
      </c>
      <c r="BY108" s="89" t="e">
        <f t="shared" si="4"/>
        <v>#REF!</v>
      </c>
      <c r="BZ108" s="89" t="e">
        <f t="shared" si="15"/>
        <v>#REF!</v>
      </c>
      <c r="CA108" s="89" t="e">
        <f t="shared" si="16"/>
        <v>#REF!</v>
      </c>
      <c r="CB108" s="89" t="e">
        <f t="shared" si="30"/>
        <v>#REF!</v>
      </c>
    </row>
    <row r="109" spans="1:80" ht="14.25" hidden="1" customHeight="1">
      <c r="A109" s="93">
        <v>102</v>
      </c>
      <c r="B109" s="82"/>
      <c r="C109" s="82"/>
      <c r="D109" s="100"/>
      <c r="E109" s="82"/>
      <c r="F109" s="82"/>
      <c r="G109" s="82"/>
      <c r="H109" s="82"/>
      <c r="I109" s="96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97">
        <f t="shared" si="21"/>
        <v>0</v>
      </c>
      <c r="W109" s="184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32"/>
      <c r="AW109" s="126">
        <f t="shared" si="31"/>
        <v>0</v>
      </c>
      <c r="AX109" s="39"/>
      <c r="AY109" s="39"/>
      <c r="AZ109" s="97">
        <f t="shared" si="37"/>
        <v>0</v>
      </c>
      <c r="BA109" s="98"/>
      <c r="BB109" s="97">
        <f t="shared" si="38"/>
        <v>0</v>
      </c>
      <c r="BC109" s="90"/>
      <c r="BD109" s="89">
        <f t="shared" si="36"/>
        <v>0</v>
      </c>
      <c r="BE109" s="98"/>
      <c r="BF109" s="89">
        <f t="shared" si="39"/>
        <v>0</v>
      </c>
      <c r="BG109" s="99"/>
      <c r="BH109" s="66"/>
      <c r="BI109" s="89">
        <f t="shared" si="0"/>
        <v>38.75</v>
      </c>
      <c r="BJ109" s="89">
        <f t="shared" si="7"/>
        <v>0</v>
      </c>
      <c r="BK109" s="89">
        <f t="shared" si="32"/>
        <v>0</v>
      </c>
      <c r="BL109" s="89">
        <f t="shared" si="26"/>
        <v>0</v>
      </c>
      <c r="BM109" s="89">
        <f t="shared" si="1"/>
        <v>27.5</v>
      </c>
      <c r="BN109" s="89">
        <f t="shared" si="9"/>
        <v>0</v>
      </c>
      <c r="BO109" s="89">
        <f t="shared" si="10"/>
        <v>0</v>
      </c>
      <c r="BP109" s="89">
        <f t="shared" si="27"/>
        <v>0</v>
      </c>
      <c r="BQ109" s="89">
        <f t="shared" si="2"/>
        <v>20</v>
      </c>
      <c r="BR109" s="89">
        <f t="shared" si="11"/>
        <v>0</v>
      </c>
      <c r="BS109" s="89">
        <f t="shared" si="12"/>
        <v>0</v>
      </c>
      <c r="BT109" s="89">
        <f t="shared" si="28"/>
        <v>0</v>
      </c>
      <c r="BU109" s="89">
        <f t="shared" si="3"/>
        <v>13.75</v>
      </c>
      <c r="BV109" s="89">
        <f t="shared" si="13"/>
        <v>0</v>
      </c>
      <c r="BW109" s="89">
        <f t="shared" si="14"/>
        <v>0</v>
      </c>
      <c r="BX109" s="89">
        <f t="shared" si="29"/>
        <v>0</v>
      </c>
      <c r="BY109" s="89" t="e">
        <f t="shared" si="4"/>
        <v>#REF!</v>
      </c>
      <c r="BZ109" s="89" t="e">
        <f t="shared" si="15"/>
        <v>#REF!</v>
      </c>
      <c r="CA109" s="89" t="e">
        <f t="shared" si="16"/>
        <v>#REF!</v>
      </c>
      <c r="CB109" s="89" t="e">
        <f t="shared" si="30"/>
        <v>#REF!</v>
      </c>
    </row>
    <row r="110" spans="1:80" ht="14.25" hidden="1" customHeight="1">
      <c r="A110" s="93">
        <v>103</v>
      </c>
      <c r="B110" s="82"/>
      <c r="C110" s="82"/>
      <c r="D110" s="100"/>
      <c r="E110" s="82"/>
      <c r="F110" s="82"/>
      <c r="G110" s="82"/>
      <c r="H110" s="82"/>
      <c r="I110" s="96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97">
        <f t="shared" si="21"/>
        <v>0</v>
      </c>
      <c r="W110" s="184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32"/>
      <c r="AW110" s="126">
        <f t="shared" si="31"/>
        <v>0</v>
      </c>
      <c r="AX110" s="39"/>
      <c r="AY110" s="39"/>
      <c r="AZ110" s="97">
        <f t="shared" si="37"/>
        <v>0</v>
      </c>
      <c r="BA110" s="98"/>
      <c r="BB110" s="97">
        <f t="shared" si="38"/>
        <v>0</v>
      </c>
      <c r="BC110" s="90"/>
      <c r="BD110" s="89">
        <f t="shared" si="36"/>
        <v>0</v>
      </c>
      <c r="BE110" s="98"/>
      <c r="BF110" s="89">
        <f t="shared" si="39"/>
        <v>0</v>
      </c>
      <c r="BG110" s="99"/>
      <c r="BH110" s="66"/>
      <c r="BI110" s="89">
        <f t="shared" si="0"/>
        <v>38.75</v>
      </c>
      <c r="BJ110" s="89">
        <f t="shared" si="7"/>
        <v>0</v>
      </c>
      <c r="BK110" s="89">
        <f t="shared" si="32"/>
        <v>0</v>
      </c>
      <c r="BL110" s="89">
        <f t="shared" si="26"/>
        <v>0</v>
      </c>
      <c r="BM110" s="89">
        <f t="shared" si="1"/>
        <v>27.5</v>
      </c>
      <c r="BN110" s="89">
        <f t="shared" si="9"/>
        <v>0</v>
      </c>
      <c r="BO110" s="89">
        <f t="shared" si="10"/>
        <v>0</v>
      </c>
      <c r="BP110" s="89">
        <f t="shared" si="27"/>
        <v>0</v>
      </c>
      <c r="BQ110" s="89">
        <f t="shared" si="2"/>
        <v>20</v>
      </c>
      <c r="BR110" s="89">
        <f t="shared" si="11"/>
        <v>0</v>
      </c>
      <c r="BS110" s="89">
        <f t="shared" si="12"/>
        <v>0</v>
      </c>
      <c r="BT110" s="89">
        <f t="shared" si="28"/>
        <v>0</v>
      </c>
      <c r="BU110" s="89">
        <f t="shared" si="3"/>
        <v>13.75</v>
      </c>
      <c r="BV110" s="89">
        <f t="shared" si="13"/>
        <v>0</v>
      </c>
      <c r="BW110" s="89">
        <f t="shared" si="14"/>
        <v>0</v>
      </c>
      <c r="BX110" s="89">
        <f t="shared" si="29"/>
        <v>0</v>
      </c>
      <c r="BY110" s="89" t="e">
        <f t="shared" si="4"/>
        <v>#REF!</v>
      </c>
      <c r="BZ110" s="89" t="e">
        <f t="shared" si="15"/>
        <v>#REF!</v>
      </c>
      <c r="CA110" s="89" t="e">
        <f t="shared" si="16"/>
        <v>#REF!</v>
      </c>
      <c r="CB110" s="89" t="e">
        <f t="shared" si="30"/>
        <v>#REF!</v>
      </c>
    </row>
    <row r="111" spans="1:80" ht="14.25" hidden="1" customHeight="1">
      <c r="A111" s="93">
        <v>104</v>
      </c>
      <c r="B111" s="82"/>
      <c r="C111" s="82"/>
      <c r="D111" s="100"/>
      <c r="E111" s="82"/>
      <c r="F111" s="82"/>
      <c r="G111" s="82"/>
      <c r="H111" s="82"/>
      <c r="I111" s="96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97">
        <f t="shared" si="21"/>
        <v>0</v>
      </c>
      <c r="W111" s="184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32"/>
      <c r="AW111" s="126">
        <f t="shared" si="31"/>
        <v>0</v>
      </c>
      <c r="AX111" s="39"/>
      <c r="AY111" s="39"/>
      <c r="AZ111" s="97">
        <f t="shared" si="37"/>
        <v>0</v>
      </c>
      <c r="BA111" s="98"/>
      <c r="BB111" s="97">
        <f t="shared" si="38"/>
        <v>0</v>
      </c>
      <c r="BC111" s="90"/>
      <c r="BD111" s="89">
        <f t="shared" si="36"/>
        <v>0</v>
      </c>
      <c r="BE111" s="98"/>
      <c r="BF111" s="89">
        <f t="shared" si="39"/>
        <v>0</v>
      </c>
      <c r="BG111" s="99"/>
      <c r="BH111" s="66"/>
      <c r="BI111" s="89">
        <f t="shared" si="0"/>
        <v>38.75</v>
      </c>
      <c r="BJ111" s="89">
        <f t="shared" si="7"/>
        <v>0</v>
      </c>
      <c r="BK111" s="89">
        <f t="shared" si="32"/>
        <v>0</v>
      </c>
      <c r="BL111" s="89">
        <f t="shared" si="26"/>
        <v>0</v>
      </c>
      <c r="BM111" s="89">
        <f t="shared" si="1"/>
        <v>27.5</v>
      </c>
      <c r="BN111" s="89">
        <f t="shared" si="9"/>
        <v>0</v>
      </c>
      <c r="BO111" s="89">
        <f t="shared" si="10"/>
        <v>0</v>
      </c>
      <c r="BP111" s="89">
        <f t="shared" si="27"/>
        <v>0</v>
      </c>
      <c r="BQ111" s="89">
        <f t="shared" si="2"/>
        <v>20</v>
      </c>
      <c r="BR111" s="89">
        <f t="shared" si="11"/>
        <v>0</v>
      </c>
      <c r="BS111" s="89">
        <f t="shared" si="12"/>
        <v>0</v>
      </c>
      <c r="BT111" s="89">
        <f t="shared" si="28"/>
        <v>0</v>
      </c>
      <c r="BU111" s="89">
        <f t="shared" si="3"/>
        <v>13.75</v>
      </c>
      <c r="BV111" s="89">
        <f t="shared" si="13"/>
        <v>0</v>
      </c>
      <c r="BW111" s="89">
        <f t="shared" si="14"/>
        <v>0</v>
      </c>
      <c r="BX111" s="89">
        <f t="shared" si="29"/>
        <v>0</v>
      </c>
      <c r="BY111" s="89" t="e">
        <f t="shared" si="4"/>
        <v>#REF!</v>
      </c>
      <c r="BZ111" s="89" t="e">
        <f t="shared" si="15"/>
        <v>#REF!</v>
      </c>
      <c r="CA111" s="89" t="e">
        <f t="shared" si="16"/>
        <v>#REF!</v>
      </c>
      <c r="CB111" s="89" t="e">
        <f t="shared" si="30"/>
        <v>#REF!</v>
      </c>
    </row>
    <row r="112" spans="1:80" ht="14.25" hidden="1" customHeight="1">
      <c r="A112" s="93">
        <v>105</v>
      </c>
      <c r="B112" s="82"/>
      <c r="C112" s="82"/>
      <c r="D112" s="100"/>
      <c r="E112" s="82"/>
      <c r="F112" s="82"/>
      <c r="G112" s="82"/>
      <c r="H112" s="82"/>
      <c r="I112" s="96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97">
        <f t="shared" si="21"/>
        <v>0</v>
      </c>
      <c r="W112" s="184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32"/>
      <c r="AW112" s="126">
        <f t="shared" si="31"/>
        <v>0</v>
      </c>
      <c r="AX112" s="39"/>
      <c r="AY112" s="39"/>
      <c r="AZ112" s="97">
        <f t="shared" si="37"/>
        <v>0</v>
      </c>
      <c r="BA112" s="98"/>
      <c r="BB112" s="97">
        <f t="shared" si="38"/>
        <v>0</v>
      </c>
      <c r="BC112" s="90"/>
      <c r="BD112" s="89">
        <f t="shared" si="36"/>
        <v>0</v>
      </c>
      <c r="BE112" s="98"/>
      <c r="BF112" s="89">
        <f t="shared" si="39"/>
        <v>0</v>
      </c>
      <c r="BG112" s="99"/>
      <c r="BH112" s="66"/>
      <c r="BI112" s="89">
        <f t="shared" si="0"/>
        <v>38.75</v>
      </c>
      <c r="BJ112" s="89">
        <f t="shared" si="7"/>
        <v>0</v>
      </c>
      <c r="BK112" s="89">
        <f t="shared" si="32"/>
        <v>0</v>
      </c>
      <c r="BL112" s="89">
        <f t="shared" si="26"/>
        <v>0</v>
      </c>
      <c r="BM112" s="89">
        <f t="shared" si="1"/>
        <v>27.5</v>
      </c>
      <c r="BN112" s="89">
        <f t="shared" si="9"/>
        <v>0</v>
      </c>
      <c r="BO112" s="89">
        <f t="shared" si="10"/>
        <v>0</v>
      </c>
      <c r="BP112" s="89">
        <f t="shared" si="27"/>
        <v>0</v>
      </c>
      <c r="BQ112" s="89">
        <f t="shared" si="2"/>
        <v>20</v>
      </c>
      <c r="BR112" s="89">
        <f t="shared" si="11"/>
        <v>0</v>
      </c>
      <c r="BS112" s="89">
        <f t="shared" si="12"/>
        <v>0</v>
      </c>
      <c r="BT112" s="89">
        <f t="shared" si="28"/>
        <v>0</v>
      </c>
      <c r="BU112" s="89">
        <f t="shared" si="3"/>
        <v>13.75</v>
      </c>
      <c r="BV112" s="89">
        <f t="shared" si="13"/>
        <v>0</v>
      </c>
      <c r="BW112" s="89">
        <f t="shared" si="14"/>
        <v>0</v>
      </c>
      <c r="BX112" s="89">
        <f t="shared" si="29"/>
        <v>0</v>
      </c>
      <c r="BY112" s="89" t="e">
        <f t="shared" si="4"/>
        <v>#REF!</v>
      </c>
      <c r="BZ112" s="89" t="e">
        <f t="shared" si="15"/>
        <v>#REF!</v>
      </c>
      <c r="CA112" s="89" t="e">
        <f t="shared" si="16"/>
        <v>#REF!</v>
      </c>
      <c r="CB112" s="89" t="e">
        <f t="shared" si="30"/>
        <v>#REF!</v>
      </c>
    </row>
    <row r="113" spans="1:80" ht="14.25" hidden="1" customHeight="1">
      <c r="A113" s="93">
        <v>106</v>
      </c>
      <c r="B113" s="82"/>
      <c r="C113" s="82"/>
      <c r="D113" s="100"/>
      <c r="E113" s="82"/>
      <c r="F113" s="82"/>
      <c r="G113" s="82"/>
      <c r="H113" s="82"/>
      <c r="I113" s="96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97">
        <f t="shared" si="21"/>
        <v>0</v>
      </c>
      <c r="W113" s="184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32"/>
      <c r="AW113" s="126">
        <f t="shared" si="31"/>
        <v>0</v>
      </c>
      <c r="AX113" s="39"/>
      <c r="AY113" s="39"/>
      <c r="AZ113" s="97">
        <f t="shared" si="37"/>
        <v>0</v>
      </c>
      <c r="BA113" s="98"/>
      <c r="BB113" s="97">
        <f t="shared" si="38"/>
        <v>0</v>
      </c>
      <c r="BC113" s="90"/>
      <c r="BD113" s="89">
        <f t="shared" si="36"/>
        <v>0</v>
      </c>
      <c r="BE113" s="98"/>
      <c r="BF113" s="89">
        <f t="shared" si="39"/>
        <v>0</v>
      </c>
      <c r="BG113" s="99"/>
      <c r="BH113" s="66"/>
      <c r="BI113" s="89">
        <f t="shared" si="0"/>
        <v>38.75</v>
      </c>
      <c r="BJ113" s="89">
        <f t="shared" si="7"/>
        <v>0</v>
      </c>
      <c r="BK113" s="89">
        <f t="shared" si="32"/>
        <v>0</v>
      </c>
      <c r="BL113" s="89">
        <f t="shared" si="26"/>
        <v>0</v>
      </c>
      <c r="BM113" s="89">
        <f t="shared" si="1"/>
        <v>27.5</v>
      </c>
      <c r="BN113" s="89">
        <f t="shared" si="9"/>
        <v>0</v>
      </c>
      <c r="BO113" s="89">
        <f t="shared" si="10"/>
        <v>0</v>
      </c>
      <c r="BP113" s="89">
        <f t="shared" si="27"/>
        <v>0</v>
      </c>
      <c r="BQ113" s="89">
        <f t="shared" si="2"/>
        <v>20</v>
      </c>
      <c r="BR113" s="89">
        <f t="shared" si="11"/>
        <v>0</v>
      </c>
      <c r="BS113" s="89">
        <f t="shared" si="12"/>
        <v>0</v>
      </c>
      <c r="BT113" s="89">
        <f t="shared" si="28"/>
        <v>0</v>
      </c>
      <c r="BU113" s="89">
        <f t="shared" si="3"/>
        <v>13.75</v>
      </c>
      <c r="BV113" s="89">
        <f t="shared" si="13"/>
        <v>0</v>
      </c>
      <c r="BW113" s="89">
        <f t="shared" si="14"/>
        <v>0</v>
      </c>
      <c r="BX113" s="89">
        <f t="shared" si="29"/>
        <v>0</v>
      </c>
      <c r="BY113" s="89" t="e">
        <f t="shared" si="4"/>
        <v>#REF!</v>
      </c>
      <c r="BZ113" s="89" t="e">
        <f t="shared" si="15"/>
        <v>#REF!</v>
      </c>
      <c r="CA113" s="89" t="e">
        <f t="shared" si="16"/>
        <v>#REF!</v>
      </c>
      <c r="CB113" s="89" t="e">
        <f t="shared" si="30"/>
        <v>#REF!</v>
      </c>
    </row>
    <row r="114" spans="1:80" ht="14.25" hidden="1" customHeight="1">
      <c r="A114" s="93">
        <v>107</v>
      </c>
      <c r="B114" s="82"/>
      <c r="C114" s="82"/>
      <c r="D114" s="100"/>
      <c r="E114" s="82"/>
      <c r="F114" s="82"/>
      <c r="G114" s="82"/>
      <c r="H114" s="82"/>
      <c r="I114" s="96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97">
        <f t="shared" si="21"/>
        <v>0</v>
      </c>
      <c r="W114" s="184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32"/>
      <c r="AW114" s="126">
        <f t="shared" si="31"/>
        <v>0</v>
      </c>
      <c r="AX114" s="39"/>
      <c r="AY114" s="39"/>
      <c r="AZ114" s="97">
        <f t="shared" si="37"/>
        <v>0</v>
      </c>
      <c r="BA114" s="98"/>
      <c r="BB114" s="97">
        <f t="shared" si="38"/>
        <v>0</v>
      </c>
      <c r="BC114" s="90"/>
      <c r="BD114" s="89">
        <f t="shared" si="36"/>
        <v>0</v>
      </c>
      <c r="BE114" s="98"/>
      <c r="BF114" s="89">
        <f t="shared" si="39"/>
        <v>0</v>
      </c>
      <c r="BG114" s="99"/>
      <c r="BH114" s="66"/>
      <c r="BI114" s="89">
        <f t="shared" si="0"/>
        <v>38.75</v>
      </c>
      <c r="BJ114" s="89">
        <f t="shared" si="7"/>
        <v>0</v>
      </c>
      <c r="BK114" s="89">
        <f t="shared" si="32"/>
        <v>0</v>
      </c>
      <c r="BL114" s="89">
        <f t="shared" si="26"/>
        <v>0</v>
      </c>
      <c r="BM114" s="89">
        <f t="shared" si="1"/>
        <v>27.5</v>
      </c>
      <c r="BN114" s="89">
        <f t="shared" si="9"/>
        <v>0</v>
      </c>
      <c r="BO114" s="89">
        <f t="shared" si="10"/>
        <v>0</v>
      </c>
      <c r="BP114" s="89">
        <f t="shared" si="27"/>
        <v>0</v>
      </c>
      <c r="BQ114" s="89">
        <f t="shared" si="2"/>
        <v>20</v>
      </c>
      <c r="BR114" s="89">
        <f t="shared" si="11"/>
        <v>0</v>
      </c>
      <c r="BS114" s="89">
        <f t="shared" si="12"/>
        <v>0</v>
      </c>
      <c r="BT114" s="89">
        <f t="shared" si="28"/>
        <v>0</v>
      </c>
      <c r="BU114" s="89">
        <f t="shared" si="3"/>
        <v>13.75</v>
      </c>
      <c r="BV114" s="89">
        <f t="shared" si="13"/>
        <v>0</v>
      </c>
      <c r="BW114" s="89">
        <f t="shared" si="14"/>
        <v>0</v>
      </c>
      <c r="BX114" s="89">
        <f t="shared" si="29"/>
        <v>0</v>
      </c>
      <c r="BY114" s="89" t="e">
        <f t="shared" si="4"/>
        <v>#REF!</v>
      </c>
      <c r="BZ114" s="89" t="e">
        <f t="shared" si="15"/>
        <v>#REF!</v>
      </c>
      <c r="CA114" s="89" t="e">
        <f t="shared" si="16"/>
        <v>#REF!</v>
      </c>
      <c r="CB114" s="89" t="e">
        <f t="shared" si="30"/>
        <v>#REF!</v>
      </c>
    </row>
    <row r="115" spans="1:80" ht="14.25" hidden="1" customHeight="1">
      <c r="A115" s="93">
        <v>108</v>
      </c>
      <c r="B115" s="82"/>
      <c r="C115" s="82"/>
      <c r="D115" s="100"/>
      <c r="E115" s="82"/>
      <c r="F115" s="82"/>
      <c r="G115" s="82"/>
      <c r="H115" s="82"/>
      <c r="I115" s="96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97">
        <f t="shared" si="21"/>
        <v>0</v>
      </c>
      <c r="W115" s="184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32"/>
      <c r="AW115" s="126">
        <f t="shared" si="31"/>
        <v>0</v>
      </c>
      <c r="AX115" s="39"/>
      <c r="AY115" s="39"/>
      <c r="AZ115" s="97">
        <f t="shared" si="37"/>
        <v>0</v>
      </c>
      <c r="BA115" s="98"/>
      <c r="BB115" s="97">
        <f t="shared" si="38"/>
        <v>0</v>
      </c>
      <c r="BC115" s="90"/>
      <c r="BD115" s="89">
        <f t="shared" si="36"/>
        <v>0</v>
      </c>
      <c r="BE115" s="98"/>
      <c r="BF115" s="89">
        <f t="shared" si="39"/>
        <v>0</v>
      </c>
      <c r="BG115" s="99"/>
      <c r="BH115" s="66"/>
      <c r="BI115" s="89">
        <f t="shared" si="0"/>
        <v>38.75</v>
      </c>
      <c r="BJ115" s="89">
        <f t="shared" si="7"/>
        <v>0</v>
      </c>
      <c r="BK115" s="89">
        <f t="shared" si="32"/>
        <v>0</v>
      </c>
      <c r="BL115" s="89">
        <f t="shared" si="26"/>
        <v>0</v>
      </c>
      <c r="BM115" s="89">
        <f t="shared" si="1"/>
        <v>27.5</v>
      </c>
      <c r="BN115" s="89">
        <f t="shared" si="9"/>
        <v>0</v>
      </c>
      <c r="BO115" s="89">
        <f t="shared" si="10"/>
        <v>0</v>
      </c>
      <c r="BP115" s="89">
        <f t="shared" si="27"/>
        <v>0</v>
      </c>
      <c r="BQ115" s="89">
        <f t="shared" si="2"/>
        <v>20</v>
      </c>
      <c r="BR115" s="89">
        <f t="shared" si="11"/>
        <v>0</v>
      </c>
      <c r="BS115" s="89">
        <f t="shared" si="12"/>
        <v>0</v>
      </c>
      <c r="BT115" s="89">
        <f t="shared" si="28"/>
        <v>0</v>
      </c>
      <c r="BU115" s="89">
        <f t="shared" si="3"/>
        <v>13.75</v>
      </c>
      <c r="BV115" s="89">
        <f t="shared" si="13"/>
        <v>0</v>
      </c>
      <c r="BW115" s="89">
        <f t="shared" si="14"/>
        <v>0</v>
      </c>
      <c r="BX115" s="89">
        <f t="shared" si="29"/>
        <v>0</v>
      </c>
      <c r="BY115" s="89" t="e">
        <f t="shared" si="4"/>
        <v>#REF!</v>
      </c>
      <c r="BZ115" s="89" t="e">
        <f t="shared" si="15"/>
        <v>#REF!</v>
      </c>
      <c r="CA115" s="89" t="e">
        <f t="shared" si="16"/>
        <v>#REF!</v>
      </c>
      <c r="CB115" s="89" t="e">
        <f t="shared" si="30"/>
        <v>#REF!</v>
      </c>
    </row>
    <row r="116" spans="1:80" ht="14.25" hidden="1" customHeight="1">
      <c r="A116" s="93">
        <v>109</v>
      </c>
      <c r="B116" s="82"/>
      <c r="C116" s="82"/>
      <c r="D116" s="100"/>
      <c r="E116" s="82"/>
      <c r="F116" s="82"/>
      <c r="G116" s="82"/>
      <c r="H116" s="82"/>
      <c r="I116" s="96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97">
        <f t="shared" si="21"/>
        <v>0</v>
      </c>
      <c r="W116" s="184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32"/>
      <c r="AW116" s="126">
        <f t="shared" si="31"/>
        <v>0</v>
      </c>
      <c r="AX116" s="39"/>
      <c r="AY116" s="39"/>
      <c r="AZ116" s="97">
        <f t="shared" si="37"/>
        <v>0</v>
      </c>
      <c r="BA116" s="98"/>
      <c r="BB116" s="97">
        <f t="shared" si="38"/>
        <v>0</v>
      </c>
      <c r="BC116" s="90"/>
      <c r="BD116" s="89">
        <f t="shared" si="36"/>
        <v>0</v>
      </c>
      <c r="BE116" s="98"/>
      <c r="BF116" s="89">
        <f t="shared" si="39"/>
        <v>0</v>
      </c>
      <c r="BG116" s="99"/>
      <c r="BH116" s="66"/>
      <c r="BI116" s="89">
        <f t="shared" si="0"/>
        <v>38.75</v>
      </c>
      <c r="BJ116" s="89">
        <f t="shared" si="7"/>
        <v>0</v>
      </c>
      <c r="BK116" s="89">
        <f t="shared" si="32"/>
        <v>0</v>
      </c>
      <c r="BL116" s="89">
        <f t="shared" si="26"/>
        <v>0</v>
      </c>
      <c r="BM116" s="89">
        <f t="shared" si="1"/>
        <v>27.5</v>
      </c>
      <c r="BN116" s="89">
        <f t="shared" si="9"/>
        <v>0</v>
      </c>
      <c r="BO116" s="89">
        <f t="shared" si="10"/>
        <v>0</v>
      </c>
      <c r="BP116" s="89">
        <f t="shared" si="27"/>
        <v>0</v>
      </c>
      <c r="BQ116" s="89">
        <f t="shared" si="2"/>
        <v>20</v>
      </c>
      <c r="BR116" s="89">
        <f t="shared" si="11"/>
        <v>0</v>
      </c>
      <c r="BS116" s="89">
        <f t="shared" si="12"/>
        <v>0</v>
      </c>
      <c r="BT116" s="89">
        <f t="shared" si="28"/>
        <v>0</v>
      </c>
      <c r="BU116" s="89">
        <f t="shared" si="3"/>
        <v>13.75</v>
      </c>
      <c r="BV116" s="89">
        <f t="shared" si="13"/>
        <v>0</v>
      </c>
      <c r="BW116" s="89">
        <f t="shared" si="14"/>
        <v>0</v>
      </c>
      <c r="BX116" s="89">
        <f t="shared" si="29"/>
        <v>0</v>
      </c>
      <c r="BY116" s="89" t="e">
        <f t="shared" si="4"/>
        <v>#REF!</v>
      </c>
      <c r="BZ116" s="89" t="e">
        <f t="shared" si="15"/>
        <v>#REF!</v>
      </c>
      <c r="CA116" s="89" t="e">
        <f t="shared" si="16"/>
        <v>#REF!</v>
      </c>
      <c r="CB116" s="89" t="e">
        <f t="shared" si="30"/>
        <v>#REF!</v>
      </c>
    </row>
    <row r="117" spans="1:80" ht="14.25" hidden="1" customHeight="1">
      <c r="A117" s="93">
        <v>110</v>
      </c>
      <c r="B117" s="82"/>
      <c r="C117" s="82"/>
      <c r="D117" s="100"/>
      <c r="E117" s="82"/>
      <c r="F117" s="82"/>
      <c r="G117" s="82"/>
      <c r="H117" s="82"/>
      <c r="I117" s="96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97">
        <f t="shared" si="21"/>
        <v>0</v>
      </c>
      <c r="W117" s="184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32"/>
      <c r="AW117" s="126">
        <f t="shared" si="31"/>
        <v>0</v>
      </c>
      <c r="AX117" s="39"/>
      <c r="AY117" s="39"/>
      <c r="AZ117" s="97">
        <f t="shared" si="37"/>
        <v>0</v>
      </c>
      <c r="BA117" s="98"/>
      <c r="BB117" s="97">
        <f t="shared" si="38"/>
        <v>0</v>
      </c>
      <c r="BC117" s="90"/>
      <c r="BD117" s="89">
        <f t="shared" si="36"/>
        <v>0</v>
      </c>
      <c r="BE117" s="98"/>
      <c r="BF117" s="89">
        <f t="shared" si="39"/>
        <v>0</v>
      </c>
      <c r="BG117" s="99"/>
      <c r="BH117" s="66"/>
      <c r="BI117" s="89">
        <f t="shared" si="0"/>
        <v>38.75</v>
      </c>
      <c r="BJ117" s="89">
        <f t="shared" si="7"/>
        <v>0</v>
      </c>
      <c r="BK117" s="89">
        <f t="shared" si="32"/>
        <v>0</v>
      </c>
      <c r="BL117" s="89">
        <f t="shared" si="26"/>
        <v>0</v>
      </c>
      <c r="BM117" s="89">
        <f t="shared" si="1"/>
        <v>27.5</v>
      </c>
      <c r="BN117" s="89">
        <f t="shared" si="9"/>
        <v>0</v>
      </c>
      <c r="BO117" s="89">
        <f t="shared" si="10"/>
        <v>0</v>
      </c>
      <c r="BP117" s="89">
        <f t="shared" si="27"/>
        <v>0</v>
      </c>
      <c r="BQ117" s="89">
        <f t="shared" si="2"/>
        <v>20</v>
      </c>
      <c r="BR117" s="89">
        <f t="shared" si="11"/>
        <v>0</v>
      </c>
      <c r="BS117" s="89">
        <f t="shared" si="12"/>
        <v>0</v>
      </c>
      <c r="BT117" s="89">
        <f t="shared" si="28"/>
        <v>0</v>
      </c>
      <c r="BU117" s="89">
        <f t="shared" si="3"/>
        <v>13.75</v>
      </c>
      <c r="BV117" s="89">
        <f t="shared" si="13"/>
        <v>0</v>
      </c>
      <c r="BW117" s="89">
        <f t="shared" si="14"/>
        <v>0</v>
      </c>
      <c r="BX117" s="89">
        <f t="shared" si="29"/>
        <v>0</v>
      </c>
      <c r="BY117" s="89" t="e">
        <f t="shared" si="4"/>
        <v>#REF!</v>
      </c>
      <c r="BZ117" s="89" t="e">
        <f t="shared" si="15"/>
        <v>#REF!</v>
      </c>
      <c r="CA117" s="89" t="e">
        <f t="shared" si="16"/>
        <v>#REF!</v>
      </c>
      <c r="CB117" s="89" t="e">
        <f t="shared" si="30"/>
        <v>#REF!</v>
      </c>
    </row>
    <row r="118" spans="1:80" ht="14.25" hidden="1" customHeight="1">
      <c r="A118" s="93">
        <v>111</v>
      </c>
      <c r="B118" s="82"/>
      <c r="C118" s="82"/>
      <c r="D118" s="100"/>
      <c r="E118" s="82"/>
      <c r="F118" s="82"/>
      <c r="G118" s="82"/>
      <c r="H118" s="82"/>
      <c r="I118" s="96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97">
        <f t="shared" si="21"/>
        <v>0</v>
      </c>
      <c r="W118" s="184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32"/>
      <c r="AW118" s="126">
        <f t="shared" si="31"/>
        <v>0</v>
      </c>
      <c r="AX118" s="39"/>
      <c r="AY118" s="39"/>
      <c r="AZ118" s="97">
        <f t="shared" si="37"/>
        <v>0</v>
      </c>
      <c r="BA118" s="98"/>
      <c r="BB118" s="97">
        <f t="shared" si="38"/>
        <v>0</v>
      </c>
      <c r="BC118" s="90"/>
      <c r="BD118" s="89">
        <f t="shared" si="36"/>
        <v>0</v>
      </c>
      <c r="BE118" s="98"/>
      <c r="BF118" s="89">
        <f t="shared" si="39"/>
        <v>0</v>
      </c>
      <c r="BG118" s="99"/>
      <c r="BH118" s="66"/>
      <c r="BI118" s="89">
        <f t="shared" si="0"/>
        <v>38.75</v>
      </c>
      <c r="BJ118" s="89">
        <f t="shared" si="7"/>
        <v>0</v>
      </c>
      <c r="BK118" s="89">
        <f t="shared" si="32"/>
        <v>0</v>
      </c>
      <c r="BL118" s="89">
        <f t="shared" si="26"/>
        <v>0</v>
      </c>
      <c r="BM118" s="89">
        <f t="shared" si="1"/>
        <v>27.5</v>
      </c>
      <c r="BN118" s="89">
        <f t="shared" si="9"/>
        <v>0</v>
      </c>
      <c r="BO118" s="89">
        <f t="shared" si="10"/>
        <v>0</v>
      </c>
      <c r="BP118" s="89">
        <f t="shared" si="27"/>
        <v>0</v>
      </c>
      <c r="BQ118" s="89">
        <f t="shared" si="2"/>
        <v>20</v>
      </c>
      <c r="BR118" s="89">
        <f t="shared" si="11"/>
        <v>0</v>
      </c>
      <c r="BS118" s="89">
        <f t="shared" si="12"/>
        <v>0</v>
      </c>
      <c r="BT118" s="89">
        <f t="shared" si="28"/>
        <v>0</v>
      </c>
      <c r="BU118" s="89">
        <f t="shared" si="3"/>
        <v>13.75</v>
      </c>
      <c r="BV118" s="89">
        <f t="shared" si="13"/>
        <v>0</v>
      </c>
      <c r="BW118" s="89">
        <f t="shared" si="14"/>
        <v>0</v>
      </c>
      <c r="BX118" s="89">
        <f t="shared" si="29"/>
        <v>0</v>
      </c>
      <c r="BY118" s="89" t="e">
        <f t="shared" si="4"/>
        <v>#REF!</v>
      </c>
      <c r="BZ118" s="89" t="e">
        <f t="shared" si="15"/>
        <v>#REF!</v>
      </c>
      <c r="CA118" s="89" t="e">
        <f t="shared" si="16"/>
        <v>#REF!</v>
      </c>
      <c r="CB118" s="89" t="e">
        <f t="shared" si="30"/>
        <v>#REF!</v>
      </c>
    </row>
    <row r="119" spans="1:80" ht="14.25" hidden="1" customHeight="1">
      <c r="A119" s="93">
        <v>112</v>
      </c>
      <c r="B119" s="82"/>
      <c r="C119" s="82"/>
      <c r="D119" s="100"/>
      <c r="E119" s="82"/>
      <c r="F119" s="82"/>
      <c r="G119" s="82"/>
      <c r="H119" s="82"/>
      <c r="I119" s="96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97">
        <f t="shared" si="21"/>
        <v>0</v>
      </c>
      <c r="W119" s="184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32"/>
      <c r="AW119" s="126">
        <f t="shared" si="31"/>
        <v>0</v>
      </c>
      <c r="AX119" s="39"/>
      <c r="AY119" s="39"/>
      <c r="AZ119" s="97">
        <f t="shared" si="37"/>
        <v>0</v>
      </c>
      <c r="BA119" s="98"/>
      <c r="BB119" s="97">
        <f t="shared" si="38"/>
        <v>0</v>
      </c>
      <c r="BC119" s="90"/>
      <c r="BD119" s="89">
        <f t="shared" si="36"/>
        <v>0</v>
      </c>
      <c r="BE119" s="98"/>
      <c r="BF119" s="89">
        <f t="shared" si="39"/>
        <v>0</v>
      </c>
      <c r="BG119" s="99"/>
      <c r="BH119" s="66"/>
      <c r="BI119" s="89">
        <f t="shared" si="0"/>
        <v>38.75</v>
      </c>
      <c r="BJ119" s="89">
        <f t="shared" si="7"/>
        <v>0</v>
      </c>
      <c r="BK119" s="89">
        <f t="shared" si="32"/>
        <v>0</v>
      </c>
      <c r="BL119" s="89">
        <f t="shared" si="26"/>
        <v>0</v>
      </c>
      <c r="BM119" s="89">
        <f t="shared" si="1"/>
        <v>27.5</v>
      </c>
      <c r="BN119" s="89">
        <f t="shared" si="9"/>
        <v>0</v>
      </c>
      <c r="BO119" s="89">
        <f t="shared" si="10"/>
        <v>0</v>
      </c>
      <c r="BP119" s="89">
        <f t="shared" si="27"/>
        <v>0</v>
      </c>
      <c r="BQ119" s="89">
        <f t="shared" si="2"/>
        <v>20</v>
      </c>
      <c r="BR119" s="89">
        <f t="shared" si="11"/>
        <v>0</v>
      </c>
      <c r="BS119" s="89">
        <f t="shared" si="12"/>
        <v>0</v>
      </c>
      <c r="BT119" s="89">
        <f t="shared" si="28"/>
        <v>0</v>
      </c>
      <c r="BU119" s="89">
        <f t="shared" si="3"/>
        <v>13.75</v>
      </c>
      <c r="BV119" s="89">
        <f t="shared" si="13"/>
        <v>0</v>
      </c>
      <c r="BW119" s="89">
        <f t="shared" si="14"/>
        <v>0</v>
      </c>
      <c r="BX119" s="89">
        <f t="shared" si="29"/>
        <v>0</v>
      </c>
      <c r="BY119" s="89" t="e">
        <f t="shared" si="4"/>
        <v>#REF!</v>
      </c>
      <c r="BZ119" s="89" t="e">
        <f t="shared" si="15"/>
        <v>#REF!</v>
      </c>
      <c r="CA119" s="89" t="e">
        <f t="shared" si="16"/>
        <v>#REF!</v>
      </c>
      <c r="CB119" s="89" t="e">
        <f t="shared" si="30"/>
        <v>#REF!</v>
      </c>
    </row>
    <row r="120" spans="1:80" ht="14.25" hidden="1" customHeight="1">
      <c r="A120" s="93">
        <v>113</v>
      </c>
      <c r="B120" s="82"/>
      <c r="C120" s="82"/>
      <c r="D120" s="100"/>
      <c r="E120" s="82"/>
      <c r="F120" s="82"/>
      <c r="G120" s="82"/>
      <c r="H120" s="82"/>
      <c r="I120" s="96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97">
        <f t="shared" si="21"/>
        <v>0</v>
      </c>
      <c r="W120" s="184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32"/>
      <c r="AW120" s="126">
        <f t="shared" si="31"/>
        <v>0</v>
      </c>
      <c r="AX120" s="39"/>
      <c r="AY120" s="39"/>
      <c r="AZ120" s="97">
        <f t="shared" si="37"/>
        <v>0</v>
      </c>
      <c r="BA120" s="98"/>
      <c r="BB120" s="97">
        <f t="shared" si="38"/>
        <v>0</v>
      </c>
      <c r="BC120" s="90"/>
      <c r="BD120" s="89">
        <f t="shared" si="36"/>
        <v>0</v>
      </c>
      <c r="BE120" s="98"/>
      <c r="BF120" s="89">
        <f t="shared" si="39"/>
        <v>0</v>
      </c>
      <c r="BG120" s="99"/>
      <c r="BH120" s="66"/>
      <c r="BI120" s="89">
        <f t="shared" si="0"/>
        <v>38.75</v>
      </c>
      <c r="BJ120" s="89">
        <f t="shared" si="7"/>
        <v>0</v>
      </c>
      <c r="BK120" s="89">
        <f t="shared" si="32"/>
        <v>0</v>
      </c>
      <c r="BL120" s="89">
        <f t="shared" si="26"/>
        <v>0</v>
      </c>
      <c r="BM120" s="89">
        <f t="shared" si="1"/>
        <v>27.5</v>
      </c>
      <c r="BN120" s="89">
        <f t="shared" si="9"/>
        <v>0</v>
      </c>
      <c r="BO120" s="89">
        <f t="shared" si="10"/>
        <v>0</v>
      </c>
      <c r="BP120" s="89">
        <f t="shared" si="27"/>
        <v>0</v>
      </c>
      <c r="BQ120" s="89">
        <f t="shared" si="2"/>
        <v>20</v>
      </c>
      <c r="BR120" s="89">
        <f t="shared" si="11"/>
        <v>0</v>
      </c>
      <c r="BS120" s="89">
        <f t="shared" si="12"/>
        <v>0</v>
      </c>
      <c r="BT120" s="89">
        <f t="shared" si="28"/>
        <v>0</v>
      </c>
      <c r="BU120" s="89">
        <f t="shared" si="3"/>
        <v>13.75</v>
      </c>
      <c r="BV120" s="89">
        <f t="shared" si="13"/>
        <v>0</v>
      </c>
      <c r="BW120" s="89">
        <f t="shared" si="14"/>
        <v>0</v>
      </c>
      <c r="BX120" s="89">
        <f t="shared" si="29"/>
        <v>0</v>
      </c>
      <c r="BY120" s="89" t="e">
        <f t="shared" si="4"/>
        <v>#REF!</v>
      </c>
      <c r="BZ120" s="89" t="e">
        <f t="shared" si="15"/>
        <v>#REF!</v>
      </c>
      <c r="CA120" s="89" t="e">
        <f t="shared" si="16"/>
        <v>#REF!</v>
      </c>
      <c r="CB120" s="89" t="e">
        <f t="shared" si="30"/>
        <v>#REF!</v>
      </c>
    </row>
    <row r="121" spans="1:80" ht="14.25" hidden="1" customHeight="1">
      <c r="A121" s="93">
        <v>114</v>
      </c>
      <c r="B121" s="82"/>
      <c r="C121" s="82"/>
      <c r="D121" s="100"/>
      <c r="E121" s="82"/>
      <c r="F121" s="82"/>
      <c r="G121" s="82"/>
      <c r="H121" s="82"/>
      <c r="I121" s="96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97">
        <f t="shared" si="21"/>
        <v>0</v>
      </c>
      <c r="W121" s="184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32"/>
      <c r="AW121" s="126">
        <f t="shared" si="31"/>
        <v>0</v>
      </c>
      <c r="AX121" s="39"/>
      <c r="AY121" s="39"/>
      <c r="AZ121" s="97">
        <f t="shared" si="37"/>
        <v>0</v>
      </c>
      <c r="BA121" s="98"/>
      <c r="BB121" s="97">
        <f t="shared" si="38"/>
        <v>0</v>
      </c>
      <c r="BC121" s="90"/>
      <c r="BD121" s="89">
        <f t="shared" si="36"/>
        <v>0</v>
      </c>
      <c r="BE121" s="98"/>
      <c r="BF121" s="89">
        <f t="shared" si="39"/>
        <v>0</v>
      </c>
      <c r="BG121" s="99"/>
      <c r="BH121" s="66"/>
      <c r="BI121" s="89">
        <f t="shared" si="0"/>
        <v>38.75</v>
      </c>
      <c r="BJ121" s="89">
        <f t="shared" si="7"/>
        <v>0</v>
      </c>
      <c r="BK121" s="89">
        <f t="shared" si="32"/>
        <v>0</v>
      </c>
      <c r="BL121" s="89">
        <f t="shared" si="26"/>
        <v>0</v>
      </c>
      <c r="BM121" s="89">
        <f t="shared" si="1"/>
        <v>27.5</v>
      </c>
      <c r="BN121" s="89">
        <f t="shared" si="9"/>
        <v>0</v>
      </c>
      <c r="BO121" s="89">
        <f t="shared" si="10"/>
        <v>0</v>
      </c>
      <c r="BP121" s="89">
        <f t="shared" si="27"/>
        <v>0</v>
      </c>
      <c r="BQ121" s="89">
        <f t="shared" si="2"/>
        <v>20</v>
      </c>
      <c r="BR121" s="89">
        <f t="shared" si="11"/>
        <v>0</v>
      </c>
      <c r="BS121" s="89">
        <f t="shared" si="12"/>
        <v>0</v>
      </c>
      <c r="BT121" s="89">
        <f t="shared" si="28"/>
        <v>0</v>
      </c>
      <c r="BU121" s="89">
        <f t="shared" si="3"/>
        <v>13.75</v>
      </c>
      <c r="BV121" s="89">
        <f t="shared" si="13"/>
        <v>0</v>
      </c>
      <c r="BW121" s="89">
        <f t="shared" si="14"/>
        <v>0</v>
      </c>
      <c r="BX121" s="89">
        <f t="shared" si="29"/>
        <v>0</v>
      </c>
      <c r="BY121" s="89" t="e">
        <f t="shared" si="4"/>
        <v>#REF!</v>
      </c>
      <c r="BZ121" s="89" t="e">
        <f t="shared" si="15"/>
        <v>#REF!</v>
      </c>
      <c r="CA121" s="89" t="e">
        <f t="shared" si="16"/>
        <v>#REF!</v>
      </c>
      <c r="CB121" s="89" t="e">
        <f t="shared" si="30"/>
        <v>#REF!</v>
      </c>
    </row>
    <row r="122" spans="1:80" ht="14.25" hidden="1" customHeight="1">
      <c r="A122" s="93">
        <v>115</v>
      </c>
      <c r="B122" s="82"/>
      <c r="C122" s="82"/>
      <c r="D122" s="100"/>
      <c r="E122" s="82"/>
      <c r="F122" s="82"/>
      <c r="G122" s="82"/>
      <c r="H122" s="82"/>
      <c r="I122" s="96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97">
        <f t="shared" si="21"/>
        <v>0</v>
      </c>
      <c r="W122" s="184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32"/>
      <c r="AW122" s="126">
        <f t="shared" si="31"/>
        <v>0</v>
      </c>
      <c r="AX122" s="39"/>
      <c r="AY122" s="39"/>
      <c r="AZ122" s="97">
        <f t="shared" si="37"/>
        <v>0</v>
      </c>
      <c r="BA122" s="98"/>
      <c r="BB122" s="97">
        <f t="shared" si="38"/>
        <v>0</v>
      </c>
      <c r="BC122" s="90"/>
      <c r="BD122" s="89">
        <f t="shared" si="36"/>
        <v>0</v>
      </c>
      <c r="BE122" s="98"/>
      <c r="BF122" s="89">
        <f t="shared" si="39"/>
        <v>0</v>
      </c>
      <c r="BG122" s="99"/>
      <c r="BH122" s="66"/>
      <c r="BI122" s="89">
        <f t="shared" si="0"/>
        <v>38.75</v>
      </c>
      <c r="BJ122" s="89">
        <f t="shared" si="7"/>
        <v>0</v>
      </c>
      <c r="BK122" s="89">
        <f t="shared" si="32"/>
        <v>0</v>
      </c>
      <c r="BL122" s="89">
        <f t="shared" si="26"/>
        <v>0</v>
      </c>
      <c r="BM122" s="89">
        <f t="shared" si="1"/>
        <v>27.5</v>
      </c>
      <c r="BN122" s="89">
        <f t="shared" si="9"/>
        <v>0</v>
      </c>
      <c r="BO122" s="89">
        <f t="shared" si="10"/>
        <v>0</v>
      </c>
      <c r="BP122" s="89">
        <f t="shared" si="27"/>
        <v>0</v>
      </c>
      <c r="BQ122" s="89">
        <f t="shared" si="2"/>
        <v>20</v>
      </c>
      <c r="BR122" s="89">
        <f t="shared" si="11"/>
        <v>0</v>
      </c>
      <c r="BS122" s="89">
        <f t="shared" si="12"/>
        <v>0</v>
      </c>
      <c r="BT122" s="89">
        <f t="shared" si="28"/>
        <v>0</v>
      </c>
      <c r="BU122" s="89">
        <f t="shared" si="3"/>
        <v>13.75</v>
      </c>
      <c r="BV122" s="89">
        <f t="shared" si="13"/>
        <v>0</v>
      </c>
      <c r="BW122" s="89">
        <f t="shared" si="14"/>
        <v>0</v>
      </c>
      <c r="BX122" s="89">
        <f t="shared" si="29"/>
        <v>0</v>
      </c>
      <c r="BY122" s="89" t="e">
        <f t="shared" si="4"/>
        <v>#REF!</v>
      </c>
      <c r="BZ122" s="89" t="e">
        <f t="shared" si="15"/>
        <v>#REF!</v>
      </c>
      <c r="CA122" s="89" t="e">
        <f t="shared" si="16"/>
        <v>#REF!</v>
      </c>
      <c r="CB122" s="89" t="e">
        <f t="shared" si="30"/>
        <v>#REF!</v>
      </c>
    </row>
    <row r="123" spans="1:80" ht="14.25" hidden="1" customHeight="1">
      <c r="A123" s="93">
        <v>116</v>
      </c>
      <c r="B123" s="82"/>
      <c r="C123" s="82"/>
      <c r="D123" s="100"/>
      <c r="E123" s="82"/>
      <c r="F123" s="82"/>
      <c r="G123" s="82"/>
      <c r="H123" s="82"/>
      <c r="I123" s="96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97">
        <f t="shared" si="21"/>
        <v>0</v>
      </c>
      <c r="W123" s="184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32"/>
      <c r="AW123" s="126">
        <f t="shared" si="31"/>
        <v>0</v>
      </c>
      <c r="AX123" s="39"/>
      <c r="AY123" s="39"/>
      <c r="AZ123" s="97">
        <f t="shared" si="37"/>
        <v>0</v>
      </c>
      <c r="BA123" s="98"/>
      <c r="BB123" s="97">
        <f t="shared" si="38"/>
        <v>0</v>
      </c>
      <c r="BC123" s="90"/>
      <c r="BD123" s="89">
        <f t="shared" si="36"/>
        <v>0</v>
      </c>
      <c r="BE123" s="98"/>
      <c r="BF123" s="89">
        <f t="shared" si="39"/>
        <v>0</v>
      </c>
      <c r="BG123" s="99"/>
      <c r="BH123" s="66"/>
      <c r="BI123" s="89">
        <f t="shared" si="0"/>
        <v>38.75</v>
      </c>
      <c r="BJ123" s="89">
        <f t="shared" si="7"/>
        <v>0</v>
      </c>
      <c r="BK123" s="89">
        <f t="shared" si="32"/>
        <v>0</v>
      </c>
      <c r="BL123" s="89">
        <f t="shared" si="26"/>
        <v>0</v>
      </c>
      <c r="BM123" s="89">
        <f t="shared" si="1"/>
        <v>27.5</v>
      </c>
      <c r="BN123" s="89">
        <f t="shared" si="9"/>
        <v>0</v>
      </c>
      <c r="BO123" s="89">
        <f t="shared" si="10"/>
        <v>0</v>
      </c>
      <c r="BP123" s="89">
        <f t="shared" si="27"/>
        <v>0</v>
      </c>
      <c r="BQ123" s="89">
        <f t="shared" si="2"/>
        <v>20</v>
      </c>
      <c r="BR123" s="89">
        <f t="shared" si="11"/>
        <v>0</v>
      </c>
      <c r="BS123" s="89">
        <f t="shared" si="12"/>
        <v>0</v>
      </c>
      <c r="BT123" s="89">
        <f t="shared" si="28"/>
        <v>0</v>
      </c>
      <c r="BU123" s="89">
        <f t="shared" si="3"/>
        <v>13.75</v>
      </c>
      <c r="BV123" s="89">
        <f t="shared" si="13"/>
        <v>0</v>
      </c>
      <c r="BW123" s="89">
        <f t="shared" si="14"/>
        <v>0</v>
      </c>
      <c r="BX123" s="89">
        <f t="shared" si="29"/>
        <v>0</v>
      </c>
      <c r="BY123" s="89" t="e">
        <f t="shared" si="4"/>
        <v>#REF!</v>
      </c>
      <c r="BZ123" s="89" t="e">
        <f t="shared" si="15"/>
        <v>#REF!</v>
      </c>
      <c r="CA123" s="89" t="e">
        <f t="shared" si="16"/>
        <v>#REF!</v>
      </c>
      <c r="CB123" s="89" t="e">
        <f t="shared" si="30"/>
        <v>#REF!</v>
      </c>
    </row>
    <row r="124" spans="1:80" ht="14.25" hidden="1" customHeight="1">
      <c r="A124" s="93">
        <v>117</v>
      </c>
      <c r="B124" s="82"/>
      <c r="C124" s="82"/>
      <c r="D124" s="100"/>
      <c r="E124" s="82"/>
      <c r="F124" s="82"/>
      <c r="G124" s="82"/>
      <c r="H124" s="82"/>
      <c r="I124" s="96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97">
        <f t="shared" si="21"/>
        <v>0</v>
      </c>
      <c r="W124" s="184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32"/>
      <c r="AW124" s="126">
        <f t="shared" si="31"/>
        <v>0</v>
      </c>
      <c r="AX124" s="39"/>
      <c r="AY124" s="39"/>
      <c r="AZ124" s="97">
        <f t="shared" si="37"/>
        <v>0</v>
      </c>
      <c r="BA124" s="98"/>
      <c r="BB124" s="97">
        <f t="shared" si="38"/>
        <v>0</v>
      </c>
      <c r="BC124" s="90"/>
      <c r="BD124" s="89">
        <f t="shared" si="36"/>
        <v>0</v>
      </c>
      <c r="BE124" s="98"/>
      <c r="BF124" s="89">
        <f t="shared" si="39"/>
        <v>0</v>
      </c>
      <c r="BG124" s="99"/>
      <c r="BH124" s="66"/>
      <c r="BI124" s="89">
        <f t="shared" si="0"/>
        <v>38.75</v>
      </c>
      <c r="BJ124" s="89">
        <f t="shared" si="7"/>
        <v>0</v>
      </c>
      <c r="BK124" s="89">
        <f t="shared" si="32"/>
        <v>0</v>
      </c>
      <c r="BL124" s="89">
        <f t="shared" si="26"/>
        <v>0</v>
      </c>
      <c r="BM124" s="89">
        <f t="shared" si="1"/>
        <v>27.5</v>
      </c>
      <c r="BN124" s="89">
        <f t="shared" si="9"/>
        <v>0</v>
      </c>
      <c r="BO124" s="89">
        <f t="shared" si="10"/>
        <v>0</v>
      </c>
      <c r="BP124" s="89">
        <f t="shared" si="27"/>
        <v>0</v>
      </c>
      <c r="BQ124" s="89">
        <f t="shared" si="2"/>
        <v>20</v>
      </c>
      <c r="BR124" s="89">
        <f t="shared" si="11"/>
        <v>0</v>
      </c>
      <c r="BS124" s="89">
        <f t="shared" si="12"/>
        <v>0</v>
      </c>
      <c r="BT124" s="89">
        <f t="shared" si="28"/>
        <v>0</v>
      </c>
      <c r="BU124" s="89">
        <f t="shared" si="3"/>
        <v>13.75</v>
      </c>
      <c r="BV124" s="89">
        <f t="shared" si="13"/>
        <v>0</v>
      </c>
      <c r="BW124" s="89">
        <f t="shared" si="14"/>
        <v>0</v>
      </c>
      <c r="BX124" s="89">
        <f t="shared" si="29"/>
        <v>0</v>
      </c>
      <c r="BY124" s="89" t="e">
        <f t="shared" si="4"/>
        <v>#REF!</v>
      </c>
      <c r="BZ124" s="89" t="e">
        <f t="shared" si="15"/>
        <v>#REF!</v>
      </c>
      <c r="CA124" s="89" t="e">
        <f t="shared" si="16"/>
        <v>#REF!</v>
      </c>
      <c r="CB124" s="89" t="e">
        <f t="shared" si="30"/>
        <v>#REF!</v>
      </c>
    </row>
    <row r="125" spans="1:80" ht="14.25" hidden="1" customHeight="1">
      <c r="A125" s="93">
        <v>118</v>
      </c>
      <c r="B125" s="82"/>
      <c r="C125" s="82"/>
      <c r="D125" s="100"/>
      <c r="E125" s="82"/>
      <c r="F125" s="82"/>
      <c r="G125" s="82"/>
      <c r="H125" s="82"/>
      <c r="I125" s="96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97">
        <f t="shared" si="21"/>
        <v>0</v>
      </c>
      <c r="W125" s="184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32"/>
      <c r="AW125" s="126">
        <f t="shared" si="31"/>
        <v>0</v>
      </c>
      <c r="AX125" s="39"/>
      <c r="AY125" s="39"/>
      <c r="AZ125" s="97">
        <f t="shared" si="37"/>
        <v>0</v>
      </c>
      <c r="BA125" s="98"/>
      <c r="BB125" s="97">
        <f t="shared" si="38"/>
        <v>0</v>
      </c>
      <c r="BC125" s="90"/>
      <c r="BD125" s="89">
        <f t="shared" si="36"/>
        <v>0</v>
      </c>
      <c r="BE125" s="98"/>
      <c r="BF125" s="89">
        <f t="shared" si="39"/>
        <v>0</v>
      </c>
      <c r="BG125" s="99"/>
      <c r="BH125" s="66"/>
      <c r="BI125" s="89">
        <f t="shared" si="0"/>
        <v>38.75</v>
      </c>
      <c r="BJ125" s="89">
        <f t="shared" si="7"/>
        <v>0</v>
      </c>
      <c r="BK125" s="89">
        <f t="shared" si="32"/>
        <v>0</v>
      </c>
      <c r="BL125" s="89">
        <f t="shared" si="26"/>
        <v>0</v>
      </c>
      <c r="BM125" s="89">
        <f t="shared" si="1"/>
        <v>27.5</v>
      </c>
      <c r="BN125" s="89">
        <f t="shared" si="9"/>
        <v>0</v>
      </c>
      <c r="BO125" s="89">
        <f t="shared" si="10"/>
        <v>0</v>
      </c>
      <c r="BP125" s="89">
        <f t="shared" si="27"/>
        <v>0</v>
      </c>
      <c r="BQ125" s="89">
        <f t="shared" si="2"/>
        <v>20</v>
      </c>
      <c r="BR125" s="89">
        <f t="shared" si="11"/>
        <v>0</v>
      </c>
      <c r="BS125" s="89">
        <f t="shared" si="12"/>
        <v>0</v>
      </c>
      <c r="BT125" s="89">
        <f t="shared" si="28"/>
        <v>0</v>
      </c>
      <c r="BU125" s="89">
        <f t="shared" si="3"/>
        <v>13.75</v>
      </c>
      <c r="BV125" s="89">
        <f t="shared" si="13"/>
        <v>0</v>
      </c>
      <c r="BW125" s="89">
        <f t="shared" si="14"/>
        <v>0</v>
      </c>
      <c r="BX125" s="89">
        <f t="shared" si="29"/>
        <v>0</v>
      </c>
      <c r="BY125" s="89" t="e">
        <f t="shared" si="4"/>
        <v>#REF!</v>
      </c>
      <c r="BZ125" s="89" t="e">
        <f t="shared" si="15"/>
        <v>#REF!</v>
      </c>
      <c r="CA125" s="89" t="e">
        <f t="shared" si="16"/>
        <v>#REF!</v>
      </c>
      <c r="CB125" s="89" t="e">
        <f t="shared" si="30"/>
        <v>#REF!</v>
      </c>
    </row>
    <row r="126" spans="1:80" ht="14.25" hidden="1" customHeight="1">
      <c r="A126" s="93">
        <v>119</v>
      </c>
      <c r="B126" s="82"/>
      <c r="C126" s="82"/>
      <c r="D126" s="100"/>
      <c r="E126" s="82"/>
      <c r="F126" s="82"/>
      <c r="G126" s="82"/>
      <c r="H126" s="82"/>
      <c r="I126" s="96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97">
        <f t="shared" si="21"/>
        <v>0</v>
      </c>
      <c r="W126" s="184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32"/>
      <c r="AW126" s="126">
        <f t="shared" si="31"/>
        <v>0</v>
      </c>
      <c r="AX126" s="39"/>
      <c r="AY126" s="39"/>
      <c r="AZ126" s="97">
        <f t="shared" si="37"/>
        <v>0</v>
      </c>
      <c r="BA126" s="98"/>
      <c r="BB126" s="97">
        <f t="shared" si="38"/>
        <v>0</v>
      </c>
      <c r="BC126" s="90"/>
      <c r="BD126" s="89">
        <f t="shared" si="36"/>
        <v>0</v>
      </c>
      <c r="BE126" s="98"/>
      <c r="BF126" s="89">
        <f t="shared" si="39"/>
        <v>0</v>
      </c>
      <c r="BG126" s="99"/>
      <c r="BH126" s="66"/>
      <c r="BI126" s="89">
        <f t="shared" si="0"/>
        <v>38.75</v>
      </c>
      <c r="BJ126" s="89">
        <f t="shared" si="7"/>
        <v>0</v>
      </c>
      <c r="BK126" s="89">
        <f t="shared" si="32"/>
        <v>0</v>
      </c>
      <c r="BL126" s="89">
        <f t="shared" si="26"/>
        <v>0</v>
      </c>
      <c r="BM126" s="89">
        <f t="shared" si="1"/>
        <v>27.5</v>
      </c>
      <c r="BN126" s="89">
        <f t="shared" si="9"/>
        <v>0</v>
      </c>
      <c r="BO126" s="89">
        <f t="shared" si="10"/>
        <v>0</v>
      </c>
      <c r="BP126" s="89">
        <f t="shared" si="27"/>
        <v>0</v>
      </c>
      <c r="BQ126" s="89">
        <f t="shared" si="2"/>
        <v>20</v>
      </c>
      <c r="BR126" s="89">
        <f t="shared" si="11"/>
        <v>0</v>
      </c>
      <c r="BS126" s="89">
        <f t="shared" si="12"/>
        <v>0</v>
      </c>
      <c r="BT126" s="89">
        <f t="shared" si="28"/>
        <v>0</v>
      </c>
      <c r="BU126" s="89">
        <f t="shared" si="3"/>
        <v>13.75</v>
      </c>
      <c r="BV126" s="89">
        <f t="shared" si="13"/>
        <v>0</v>
      </c>
      <c r="BW126" s="89">
        <f t="shared" si="14"/>
        <v>0</v>
      </c>
      <c r="BX126" s="89">
        <f t="shared" si="29"/>
        <v>0</v>
      </c>
      <c r="BY126" s="89" t="e">
        <f t="shared" si="4"/>
        <v>#REF!</v>
      </c>
      <c r="BZ126" s="89" t="e">
        <f t="shared" si="15"/>
        <v>#REF!</v>
      </c>
      <c r="CA126" s="89" t="e">
        <f t="shared" si="16"/>
        <v>#REF!</v>
      </c>
      <c r="CB126" s="89" t="e">
        <f t="shared" si="30"/>
        <v>#REF!</v>
      </c>
    </row>
    <row r="127" spans="1:80" ht="14.25" hidden="1" customHeight="1">
      <c r="A127" s="93">
        <v>120</v>
      </c>
      <c r="B127" s="82"/>
      <c r="C127" s="82"/>
      <c r="D127" s="100"/>
      <c r="E127" s="82"/>
      <c r="F127" s="82"/>
      <c r="G127" s="82"/>
      <c r="H127" s="82"/>
      <c r="I127" s="96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97">
        <f t="shared" si="21"/>
        <v>0</v>
      </c>
      <c r="W127" s="184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32"/>
      <c r="AW127" s="126">
        <f t="shared" si="31"/>
        <v>0</v>
      </c>
      <c r="AX127" s="39"/>
      <c r="AY127" s="39"/>
      <c r="AZ127" s="97">
        <f t="shared" si="37"/>
        <v>0</v>
      </c>
      <c r="BA127" s="98"/>
      <c r="BB127" s="97">
        <f t="shared" si="38"/>
        <v>0</v>
      </c>
      <c r="BC127" s="90"/>
      <c r="BD127" s="89">
        <f t="shared" si="36"/>
        <v>0</v>
      </c>
      <c r="BE127" s="98"/>
      <c r="BF127" s="89">
        <f t="shared" si="39"/>
        <v>0</v>
      </c>
      <c r="BG127" s="99"/>
      <c r="BH127" s="66"/>
      <c r="BI127" s="89">
        <f t="shared" si="0"/>
        <v>38.75</v>
      </c>
      <c r="BJ127" s="89">
        <f t="shared" si="7"/>
        <v>0</v>
      </c>
      <c r="BK127" s="89">
        <f t="shared" si="32"/>
        <v>0</v>
      </c>
      <c r="BL127" s="89">
        <f t="shared" si="26"/>
        <v>0</v>
      </c>
      <c r="BM127" s="89">
        <f t="shared" si="1"/>
        <v>27.5</v>
      </c>
      <c r="BN127" s="89">
        <f t="shared" si="9"/>
        <v>0</v>
      </c>
      <c r="BO127" s="89">
        <f t="shared" si="10"/>
        <v>0</v>
      </c>
      <c r="BP127" s="89">
        <f t="shared" si="27"/>
        <v>0</v>
      </c>
      <c r="BQ127" s="89">
        <f t="shared" si="2"/>
        <v>20</v>
      </c>
      <c r="BR127" s="89">
        <f t="shared" si="11"/>
        <v>0</v>
      </c>
      <c r="BS127" s="89">
        <f t="shared" si="12"/>
        <v>0</v>
      </c>
      <c r="BT127" s="89">
        <f t="shared" si="28"/>
        <v>0</v>
      </c>
      <c r="BU127" s="89">
        <f t="shared" si="3"/>
        <v>13.75</v>
      </c>
      <c r="BV127" s="89">
        <f t="shared" si="13"/>
        <v>0</v>
      </c>
      <c r="BW127" s="89">
        <f t="shared" si="14"/>
        <v>0</v>
      </c>
      <c r="BX127" s="89">
        <f t="shared" si="29"/>
        <v>0</v>
      </c>
      <c r="BY127" s="89" t="e">
        <f t="shared" si="4"/>
        <v>#REF!</v>
      </c>
      <c r="BZ127" s="89" t="e">
        <f t="shared" si="15"/>
        <v>#REF!</v>
      </c>
      <c r="CA127" s="89" t="e">
        <f t="shared" si="16"/>
        <v>#REF!</v>
      </c>
      <c r="CB127" s="89" t="e">
        <f t="shared" si="30"/>
        <v>#REF!</v>
      </c>
    </row>
    <row r="128" spans="1:80" ht="14.25" hidden="1" customHeight="1">
      <c r="A128" s="93">
        <v>121</v>
      </c>
      <c r="B128" s="82"/>
      <c r="C128" s="82"/>
      <c r="D128" s="100"/>
      <c r="E128" s="82"/>
      <c r="F128" s="82"/>
      <c r="G128" s="82"/>
      <c r="H128" s="82"/>
      <c r="I128" s="96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97">
        <f t="shared" si="21"/>
        <v>0</v>
      </c>
      <c r="W128" s="184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32"/>
      <c r="AW128" s="126">
        <f t="shared" si="31"/>
        <v>0</v>
      </c>
      <c r="AX128" s="39"/>
      <c r="AY128" s="39"/>
      <c r="AZ128" s="97">
        <f t="shared" si="37"/>
        <v>0</v>
      </c>
      <c r="BA128" s="98"/>
      <c r="BB128" s="97">
        <f t="shared" si="38"/>
        <v>0</v>
      </c>
      <c r="BC128" s="90"/>
      <c r="BD128" s="89">
        <f t="shared" si="36"/>
        <v>0</v>
      </c>
      <c r="BE128" s="98"/>
      <c r="BF128" s="89">
        <f t="shared" si="39"/>
        <v>0</v>
      </c>
      <c r="BG128" s="99"/>
      <c r="BH128" s="66"/>
      <c r="BI128" s="89">
        <f t="shared" si="0"/>
        <v>38.75</v>
      </c>
      <c r="BJ128" s="89">
        <f t="shared" si="7"/>
        <v>0</v>
      </c>
      <c r="BK128" s="89">
        <f t="shared" si="32"/>
        <v>0</v>
      </c>
      <c r="BL128" s="89">
        <f t="shared" si="26"/>
        <v>0</v>
      </c>
      <c r="BM128" s="89">
        <f t="shared" si="1"/>
        <v>27.5</v>
      </c>
      <c r="BN128" s="89">
        <f t="shared" si="9"/>
        <v>0</v>
      </c>
      <c r="BO128" s="89">
        <f t="shared" si="10"/>
        <v>0</v>
      </c>
      <c r="BP128" s="89">
        <f t="shared" si="27"/>
        <v>0</v>
      </c>
      <c r="BQ128" s="89">
        <f t="shared" si="2"/>
        <v>20</v>
      </c>
      <c r="BR128" s="89">
        <f t="shared" si="11"/>
        <v>0</v>
      </c>
      <c r="BS128" s="89">
        <f t="shared" si="12"/>
        <v>0</v>
      </c>
      <c r="BT128" s="89">
        <f t="shared" si="28"/>
        <v>0</v>
      </c>
      <c r="BU128" s="89">
        <f t="shared" si="3"/>
        <v>13.75</v>
      </c>
      <c r="BV128" s="89">
        <f t="shared" si="13"/>
        <v>0</v>
      </c>
      <c r="BW128" s="89">
        <f t="shared" si="14"/>
        <v>0</v>
      </c>
      <c r="BX128" s="89">
        <f t="shared" si="29"/>
        <v>0</v>
      </c>
      <c r="BY128" s="89" t="e">
        <f t="shared" si="4"/>
        <v>#REF!</v>
      </c>
      <c r="BZ128" s="89" t="e">
        <f t="shared" si="15"/>
        <v>#REF!</v>
      </c>
      <c r="CA128" s="89" t="e">
        <f t="shared" si="16"/>
        <v>#REF!</v>
      </c>
      <c r="CB128" s="89" t="e">
        <f t="shared" si="30"/>
        <v>#REF!</v>
      </c>
    </row>
    <row r="129" spans="1:80" ht="14.25" hidden="1" customHeight="1">
      <c r="A129" s="93">
        <v>122</v>
      </c>
      <c r="B129" s="82"/>
      <c r="C129" s="82"/>
      <c r="D129" s="100"/>
      <c r="E129" s="82"/>
      <c r="F129" s="82"/>
      <c r="G129" s="82"/>
      <c r="H129" s="82"/>
      <c r="I129" s="96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97">
        <f t="shared" si="21"/>
        <v>0</v>
      </c>
      <c r="W129" s="184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32"/>
      <c r="AW129" s="126">
        <f t="shared" si="31"/>
        <v>0</v>
      </c>
      <c r="AX129" s="39"/>
      <c r="AY129" s="39"/>
      <c r="AZ129" s="97">
        <f t="shared" si="37"/>
        <v>0</v>
      </c>
      <c r="BA129" s="98"/>
      <c r="BB129" s="97">
        <f t="shared" si="38"/>
        <v>0</v>
      </c>
      <c r="BC129" s="90"/>
      <c r="BD129" s="89">
        <f t="shared" si="36"/>
        <v>0</v>
      </c>
      <c r="BE129" s="98"/>
      <c r="BF129" s="89">
        <f t="shared" si="39"/>
        <v>0</v>
      </c>
      <c r="BG129" s="99"/>
      <c r="BH129" s="66"/>
      <c r="BI129" s="89">
        <f t="shared" si="0"/>
        <v>38.75</v>
      </c>
      <c r="BJ129" s="89">
        <f t="shared" si="7"/>
        <v>0</v>
      </c>
      <c r="BK129" s="89">
        <f t="shared" si="32"/>
        <v>0</v>
      </c>
      <c r="BL129" s="89">
        <f t="shared" si="26"/>
        <v>0</v>
      </c>
      <c r="BM129" s="89">
        <f t="shared" si="1"/>
        <v>27.5</v>
      </c>
      <c r="BN129" s="89">
        <f t="shared" si="9"/>
        <v>0</v>
      </c>
      <c r="BO129" s="89">
        <f t="shared" si="10"/>
        <v>0</v>
      </c>
      <c r="BP129" s="89">
        <f t="shared" si="27"/>
        <v>0</v>
      </c>
      <c r="BQ129" s="89">
        <f t="shared" si="2"/>
        <v>20</v>
      </c>
      <c r="BR129" s="89">
        <f t="shared" si="11"/>
        <v>0</v>
      </c>
      <c r="BS129" s="89">
        <f t="shared" si="12"/>
        <v>0</v>
      </c>
      <c r="BT129" s="89">
        <f t="shared" si="28"/>
        <v>0</v>
      </c>
      <c r="BU129" s="89">
        <f t="shared" si="3"/>
        <v>13.75</v>
      </c>
      <c r="BV129" s="89">
        <f t="shared" si="13"/>
        <v>0</v>
      </c>
      <c r="BW129" s="89">
        <f t="shared" si="14"/>
        <v>0</v>
      </c>
      <c r="BX129" s="89">
        <f t="shared" si="29"/>
        <v>0</v>
      </c>
      <c r="BY129" s="89" t="e">
        <f t="shared" si="4"/>
        <v>#REF!</v>
      </c>
      <c r="BZ129" s="89" t="e">
        <f t="shared" si="15"/>
        <v>#REF!</v>
      </c>
      <c r="CA129" s="89" t="e">
        <f t="shared" si="16"/>
        <v>#REF!</v>
      </c>
      <c r="CB129" s="89" t="e">
        <f t="shared" si="30"/>
        <v>#REF!</v>
      </c>
    </row>
    <row r="130" spans="1:80" ht="14.25" hidden="1" customHeight="1">
      <c r="A130" s="93">
        <v>123</v>
      </c>
      <c r="B130" s="82"/>
      <c r="C130" s="82"/>
      <c r="D130" s="100"/>
      <c r="E130" s="82"/>
      <c r="F130" s="82"/>
      <c r="G130" s="82"/>
      <c r="H130" s="82"/>
      <c r="I130" s="96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97">
        <f t="shared" si="21"/>
        <v>0</v>
      </c>
      <c r="W130" s="184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32"/>
      <c r="AW130" s="126">
        <f t="shared" si="31"/>
        <v>0</v>
      </c>
      <c r="AX130" s="39"/>
      <c r="AY130" s="39"/>
      <c r="AZ130" s="97">
        <f t="shared" si="37"/>
        <v>0</v>
      </c>
      <c r="BA130" s="98"/>
      <c r="BB130" s="97">
        <f t="shared" si="38"/>
        <v>0</v>
      </c>
      <c r="BC130" s="90"/>
      <c r="BD130" s="89">
        <f t="shared" si="36"/>
        <v>0</v>
      </c>
      <c r="BE130" s="98"/>
      <c r="BF130" s="89">
        <f t="shared" si="39"/>
        <v>0</v>
      </c>
      <c r="BG130" s="99"/>
      <c r="BH130" s="66"/>
      <c r="BI130" s="89">
        <f t="shared" si="0"/>
        <v>38.75</v>
      </c>
      <c r="BJ130" s="89">
        <f t="shared" si="7"/>
        <v>0</v>
      </c>
      <c r="BK130" s="89">
        <f t="shared" si="32"/>
        <v>0</v>
      </c>
      <c r="BL130" s="89">
        <f t="shared" si="26"/>
        <v>0</v>
      </c>
      <c r="BM130" s="89">
        <f t="shared" si="1"/>
        <v>27.5</v>
      </c>
      <c r="BN130" s="89">
        <f t="shared" si="9"/>
        <v>0</v>
      </c>
      <c r="BO130" s="89">
        <f t="shared" si="10"/>
        <v>0</v>
      </c>
      <c r="BP130" s="89">
        <f t="shared" si="27"/>
        <v>0</v>
      </c>
      <c r="BQ130" s="89">
        <f t="shared" si="2"/>
        <v>20</v>
      </c>
      <c r="BR130" s="89">
        <f t="shared" si="11"/>
        <v>0</v>
      </c>
      <c r="BS130" s="89">
        <f t="shared" si="12"/>
        <v>0</v>
      </c>
      <c r="BT130" s="89">
        <f t="shared" si="28"/>
        <v>0</v>
      </c>
      <c r="BU130" s="89">
        <f t="shared" si="3"/>
        <v>13.75</v>
      </c>
      <c r="BV130" s="89">
        <f t="shared" si="13"/>
        <v>0</v>
      </c>
      <c r="BW130" s="89">
        <f t="shared" si="14"/>
        <v>0</v>
      </c>
      <c r="BX130" s="89">
        <f t="shared" si="29"/>
        <v>0</v>
      </c>
      <c r="BY130" s="89" t="e">
        <f t="shared" si="4"/>
        <v>#REF!</v>
      </c>
      <c r="BZ130" s="89" t="e">
        <f t="shared" si="15"/>
        <v>#REF!</v>
      </c>
      <c r="CA130" s="89" t="e">
        <f t="shared" si="16"/>
        <v>#REF!</v>
      </c>
      <c r="CB130" s="89" t="e">
        <f t="shared" si="30"/>
        <v>#REF!</v>
      </c>
    </row>
    <row r="131" spans="1:80" ht="14.25" hidden="1" customHeight="1">
      <c r="A131" s="93">
        <v>124</v>
      </c>
      <c r="B131" s="82"/>
      <c r="C131" s="82"/>
      <c r="D131" s="100"/>
      <c r="E131" s="82"/>
      <c r="F131" s="82"/>
      <c r="G131" s="82"/>
      <c r="H131" s="82"/>
      <c r="I131" s="96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97">
        <f t="shared" si="21"/>
        <v>0</v>
      </c>
      <c r="W131" s="184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32"/>
      <c r="AW131" s="126">
        <f t="shared" si="31"/>
        <v>0</v>
      </c>
      <c r="AX131" s="39"/>
      <c r="AY131" s="39"/>
      <c r="AZ131" s="97">
        <f t="shared" ref="AZ131:AZ162" si="40">SUM(D131:H131)</f>
        <v>0</v>
      </c>
      <c r="BA131" s="98"/>
      <c r="BB131" s="97">
        <f t="shared" ref="BB131:BB162" si="41">SUM(I131:O131)</f>
        <v>0</v>
      </c>
      <c r="BC131" s="90"/>
      <c r="BD131" s="89">
        <f t="shared" si="36"/>
        <v>0</v>
      </c>
      <c r="BE131" s="98"/>
      <c r="BF131" s="89">
        <f t="shared" ref="BF131:BF162" si="42">SUM(T131:U131)</f>
        <v>0</v>
      </c>
      <c r="BG131" s="99"/>
      <c r="BH131" s="66"/>
      <c r="BI131" s="89">
        <f t="shared" si="0"/>
        <v>38.75</v>
      </c>
      <c r="BJ131" s="89">
        <f t="shared" si="7"/>
        <v>0</v>
      </c>
      <c r="BK131" s="89">
        <f t="shared" si="32"/>
        <v>0</v>
      </c>
      <c r="BL131" s="89">
        <f t="shared" si="26"/>
        <v>0</v>
      </c>
      <c r="BM131" s="89">
        <f t="shared" si="1"/>
        <v>27.5</v>
      </c>
      <c r="BN131" s="89">
        <f t="shared" si="9"/>
        <v>0</v>
      </c>
      <c r="BO131" s="89">
        <f t="shared" si="10"/>
        <v>0</v>
      </c>
      <c r="BP131" s="89">
        <f t="shared" si="27"/>
        <v>0</v>
      </c>
      <c r="BQ131" s="89">
        <f t="shared" si="2"/>
        <v>20</v>
      </c>
      <c r="BR131" s="89">
        <f t="shared" si="11"/>
        <v>0</v>
      </c>
      <c r="BS131" s="89">
        <f t="shared" si="12"/>
        <v>0</v>
      </c>
      <c r="BT131" s="89">
        <f t="shared" si="28"/>
        <v>0</v>
      </c>
      <c r="BU131" s="89">
        <f t="shared" si="3"/>
        <v>13.75</v>
      </c>
      <c r="BV131" s="89">
        <f t="shared" si="13"/>
        <v>0</v>
      </c>
      <c r="BW131" s="89">
        <f t="shared" si="14"/>
        <v>0</v>
      </c>
      <c r="BX131" s="89">
        <f t="shared" si="29"/>
        <v>0</v>
      </c>
      <c r="BY131" s="89" t="e">
        <f t="shared" si="4"/>
        <v>#REF!</v>
      </c>
      <c r="BZ131" s="89" t="e">
        <f t="shared" si="15"/>
        <v>#REF!</v>
      </c>
      <c r="CA131" s="89" t="e">
        <f t="shared" si="16"/>
        <v>#REF!</v>
      </c>
      <c r="CB131" s="89" t="e">
        <f t="shared" si="30"/>
        <v>#REF!</v>
      </c>
    </row>
    <row r="132" spans="1:80" ht="14.25" hidden="1" customHeight="1">
      <c r="A132" s="93">
        <v>125</v>
      </c>
      <c r="B132" s="82"/>
      <c r="C132" s="82"/>
      <c r="D132" s="100"/>
      <c r="E132" s="82"/>
      <c r="F132" s="82"/>
      <c r="G132" s="82"/>
      <c r="H132" s="82"/>
      <c r="I132" s="96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97">
        <f t="shared" si="21"/>
        <v>0</v>
      </c>
      <c r="W132" s="184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32"/>
      <c r="AW132" s="126">
        <f t="shared" si="31"/>
        <v>0</v>
      </c>
      <c r="AX132" s="39"/>
      <c r="AY132" s="39"/>
      <c r="AZ132" s="97">
        <f t="shared" si="40"/>
        <v>0</v>
      </c>
      <c r="BA132" s="98"/>
      <c r="BB132" s="97">
        <f t="shared" si="41"/>
        <v>0</v>
      </c>
      <c r="BC132" s="90"/>
      <c r="BD132" s="89">
        <f t="shared" si="36"/>
        <v>0</v>
      </c>
      <c r="BE132" s="98"/>
      <c r="BF132" s="89">
        <f t="shared" si="42"/>
        <v>0</v>
      </c>
      <c r="BG132" s="99"/>
      <c r="BH132" s="66"/>
      <c r="BI132" s="89">
        <f t="shared" si="0"/>
        <v>38.75</v>
      </c>
      <c r="BJ132" s="89">
        <f t="shared" si="7"/>
        <v>0</v>
      </c>
      <c r="BK132" s="89">
        <f t="shared" si="32"/>
        <v>0</v>
      </c>
      <c r="BL132" s="89">
        <f t="shared" si="26"/>
        <v>0</v>
      </c>
      <c r="BM132" s="89">
        <f t="shared" si="1"/>
        <v>27.5</v>
      </c>
      <c r="BN132" s="89">
        <f t="shared" si="9"/>
        <v>0</v>
      </c>
      <c r="BO132" s="89">
        <f t="shared" si="10"/>
        <v>0</v>
      </c>
      <c r="BP132" s="89">
        <f t="shared" si="27"/>
        <v>0</v>
      </c>
      <c r="BQ132" s="89">
        <f t="shared" si="2"/>
        <v>20</v>
      </c>
      <c r="BR132" s="89">
        <f t="shared" si="11"/>
        <v>0</v>
      </c>
      <c r="BS132" s="89">
        <f t="shared" si="12"/>
        <v>0</v>
      </c>
      <c r="BT132" s="89">
        <f t="shared" si="28"/>
        <v>0</v>
      </c>
      <c r="BU132" s="89">
        <f t="shared" si="3"/>
        <v>13.75</v>
      </c>
      <c r="BV132" s="89">
        <f t="shared" si="13"/>
        <v>0</v>
      </c>
      <c r="BW132" s="89">
        <f t="shared" si="14"/>
        <v>0</v>
      </c>
      <c r="BX132" s="89">
        <f t="shared" si="29"/>
        <v>0</v>
      </c>
      <c r="BY132" s="89" t="e">
        <f t="shared" si="4"/>
        <v>#REF!</v>
      </c>
      <c r="BZ132" s="89" t="e">
        <f t="shared" si="15"/>
        <v>#REF!</v>
      </c>
      <c r="CA132" s="89" t="e">
        <f t="shared" si="16"/>
        <v>#REF!</v>
      </c>
      <c r="CB132" s="89" t="e">
        <f t="shared" si="30"/>
        <v>#REF!</v>
      </c>
    </row>
    <row r="133" spans="1:80" ht="14.25" hidden="1" customHeight="1">
      <c r="A133" s="93">
        <v>126</v>
      </c>
      <c r="B133" s="82"/>
      <c r="C133" s="82"/>
      <c r="D133" s="100"/>
      <c r="E133" s="82"/>
      <c r="F133" s="82"/>
      <c r="G133" s="82"/>
      <c r="H133" s="82"/>
      <c r="I133" s="96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97">
        <f t="shared" si="21"/>
        <v>0</v>
      </c>
      <c r="W133" s="184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32"/>
      <c r="AW133" s="126">
        <f t="shared" si="31"/>
        <v>0</v>
      </c>
      <c r="AX133" s="39"/>
      <c r="AY133" s="39"/>
      <c r="AZ133" s="97">
        <f t="shared" si="40"/>
        <v>0</v>
      </c>
      <c r="BA133" s="98"/>
      <c r="BB133" s="97">
        <f t="shared" si="41"/>
        <v>0</v>
      </c>
      <c r="BC133" s="90"/>
      <c r="BD133" s="89">
        <f t="shared" si="36"/>
        <v>0</v>
      </c>
      <c r="BE133" s="98"/>
      <c r="BF133" s="89">
        <f t="shared" si="42"/>
        <v>0</v>
      </c>
      <c r="BG133" s="99"/>
      <c r="BH133" s="66"/>
      <c r="BI133" s="89">
        <f t="shared" si="0"/>
        <v>38.75</v>
      </c>
      <c r="BJ133" s="89">
        <f t="shared" si="7"/>
        <v>0</v>
      </c>
      <c r="BK133" s="89">
        <f t="shared" si="32"/>
        <v>0</v>
      </c>
      <c r="BL133" s="89">
        <f t="shared" si="26"/>
        <v>0</v>
      </c>
      <c r="BM133" s="89">
        <f t="shared" si="1"/>
        <v>27.5</v>
      </c>
      <c r="BN133" s="89">
        <f t="shared" si="9"/>
        <v>0</v>
      </c>
      <c r="BO133" s="89">
        <f t="shared" si="10"/>
        <v>0</v>
      </c>
      <c r="BP133" s="89">
        <f t="shared" si="27"/>
        <v>0</v>
      </c>
      <c r="BQ133" s="89">
        <f t="shared" si="2"/>
        <v>20</v>
      </c>
      <c r="BR133" s="89">
        <f t="shared" si="11"/>
        <v>0</v>
      </c>
      <c r="BS133" s="89">
        <f t="shared" si="12"/>
        <v>0</v>
      </c>
      <c r="BT133" s="89">
        <f t="shared" si="28"/>
        <v>0</v>
      </c>
      <c r="BU133" s="89">
        <f t="shared" si="3"/>
        <v>13.75</v>
      </c>
      <c r="BV133" s="89">
        <f t="shared" si="13"/>
        <v>0</v>
      </c>
      <c r="BW133" s="89">
        <f t="shared" si="14"/>
        <v>0</v>
      </c>
      <c r="BX133" s="89">
        <f t="shared" si="29"/>
        <v>0</v>
      </c>
      <c r="BY133" s="89" t="e">
        <f t="shared" si="4"/>
        <v>#REF!</v>
      </c>
      <c r="BZ133" s="89" t="e">
        <f t="shared" si="15"/>
        <v>#REF!</v>
      </c>
      <c r="CA133" s="89" t="e">
        <f t="shared" si="16"/>
        <v>#REF!</v>
      </c>
      <c r="CB133" s="89" t="e">
        <f t="shared" si="30"/>
        <v>#REF!</v>
      </c>
    </row>
    <row r="134" spans="1:80" ht="14.25" hidden="1" customHeight="1">
      <c r="A134" s="93">
        <v>127</v>
      </c>
      <c r="B134" s="82"/>
      <c r="C134" s="82"/>
      <c r="D134" s="100"/>
      <c r="E134" s="82"/>
      <c r="F134" s="82"/>
      <c r="G134" s="82"/>
      <c r="H134" s="82"/>
      <c r="I134" s="96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97">
        <f t="shared" si="21"/>
        <v>0</v>
      </c>
      <c r="W134" s="184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32"/>
      <c r="AW134" s="126">
        <f t="shared" si="31"/>
        <v>0</v>
      </c>
      <c r="AX134" s="39"/>
      <c r="AY134" s="39"/>
      <c r="AZ134" s="97">
        <f t="shared" si="40"/>
        <v>0</v>
      </c>
      <c r="BA134" s="98"/>
      <c r="BB134" s="97">
        <f t="shared" si="41"/>
        <v>0</v>
      </c>
      <c r="BC134" s="90"/>
      <c r="BD134" s="89">
        <f t="shared" si="36"/>
        <v>0</v>
      </c>
      <c r="BE134" s="98"/>
      <c r="BF134" s="89">
        <f t="shared" si="42"/>
        <v>0</v>
      </c>
      <c r="BG134" s="99"/>
      <c r="BH134" s="66"/>
      <c r="BI134" s="89">
        <f t="shared" si="0"/>
        <v>38.75</v>
      </c>
      <c r="BJ134" s="89">
        <f t="shared" si="7"/>
        <v>0</v>
      </c>
      <c r="BK134" s="89">
        <f t="shared" si="32"/>
        <v>0</v>
      </c>
      <c r="BL134" s="89">
        <f t="shared" si="26"/>
        <v>0</v>
      </c>
      <c r="BM134" s="89">
        <f t="shared" si="1"/>
        <v>27.5</v>
      </c>
      <c r="BN134" s="89">
        <f t="shared" si="9"/>
        <v>0</v>
      </c>
      <c r="BO134" s="89">
        <f t="shared" si="10"/>
        <v>0</v>
      </c>
      <c r="BP134" s="89">
        <f t="shared" si="27"/>
        <v>0</v>
      </c>
      <c r="BQ134" s="89">
        <f t="shared" si="2"/>
        <v>20</v>
      </c>
      <c r="BR134" s="89">
        <f t="shared" si="11"/>
        <v>0</v>
      </c>
      <c r="BS134" s="89">
        <f t="shared" si="12"/>
        <v>0</v>
      </c>
      <c r="BT134" s="89">
        <f t="shared" si="28"/>
        <v>0</v>
      </c>
      <c r="BU134" s="89">
        <f t="shared" si="3"/>
        <v>13.75</v>
      </c>
      <c r="BV134" s="89">
        <f t="shared" si="13"/>
        <v>0</v>
      </c>
      <c r="BW134" s="89">
        <f t="shared" si="14"/>
        <v>0</v>
      </c>
      <c r="BX134" s="89">
        <f t="shared" si="29"/>
        <v>0</v>
      </c>
      <c r="BY134" s="89" t="e">
        <f t="shared" si="4"/>
        <v>#REF!</v>
      </c>
      <c r="BZ134" s="89" t="e">
        <f t="shared" si="15"/>
        <v>#REF!</v>
      </c>
      <c r="CA134" s="89" t="e">
        <f t="shared" si="16"/>
        <v>#REF!</v>
      </c>
      <c r="CB134" s="89" t="e">
        <f t="shared" si="30"/>
        <v>#REF!</v>
      </c>
    </row>
    <row r="135" spans="1:80" ht="14.25" hidden="1" customHeight="1">
      <c r="A135" s="93">
        <v>128</v>
      </c>
      <c r="B135" s="82"/>
      <c r="C135" s="82"/>
      <c r="D135" s="100"/>
      <c r="E135" s="82"/>
      <c r="F135" s="82"/>
      <c r="G135" s="82"/>
      <c r="H135" s="82"/>
      <c r="I135" s="96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97">
        <f t="shared" si="21"/>
        <v>0</v>
      </c>
      <c r="W135" s="184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32"/>
      <c r="AW135" s="126">
        <f t="shared" si="31"/>
        <v>0</v>
      </c>
      <c r="AX135" s="39"/>
      <c r="AY135" s="39"/>
      <c r="AZ135" s="97">
        <f t="shared" si="40"/>
        <v>0</v>
      </c>
      <c r="BA135" s="98"/>
      <c r="BB135" s="97">
        <f t="shared" si="41"/>
        <v>0</v>
      </c>
      <c r="BC135" s="90"/>
      <c r="BD135" s="89">
        <f t="shared" si="36"/>
        <v>0</v>
      </c>
      <c r="BE135" s="98"/>
      <c r="BF135" s="89">
        <f t="shared" si="42"/>
        <v>0</v>
      </c>
      <c r="BG135" s="99"/>
      <c r="BH135" s="66"/>
      <c r="BI135" s="89">
        <f t="shared" si="0"/>
        <v>38.75</v>
      </c>
      <c r="BJ135" s="89">
        <f t="shared" si="7"/>
        <v>0</v>
      </c>
      <c r="BK135" s="89">
        <f t="shared" si="32"/>
        <v>0</v>
      </c>
      <c r="BL135" s="89">
        <f t="shared" si="26"/>
        <v>0</v>
      </c>
      <c r="BM135" s="89">
        <f t="shared" si="1"/>
        <v>27.5</v>
      </c>
      <c r="BN135" s="89">
        <f t="shared" si="9"/>
        <v>0</v>
      </c>
      <c r="BO135" s="89">
        <f t="shared" si="10"/>
        <v>0</v>
      </c>
      <c r="BP135" s="89">
        <f t="shared" si="27"/>
        <v>0</v>
      </c>
      <c r="BQ135" s="89">
        <f t="shared" si="2"/>
        <v>20</v>
      </c>
      <c r="BR135" s="89">
        <f t="shared" si="11"/>
        <v>0</v>
      </c>
      <c r="BS135" s="89">
        <f t="shared" si="12"/>
        <v>0</v>
      </c>
      <c r="BT135" s="89">
        <f t="shared" si="28"/>
        <v>0</v>
      </c>
      <c r="BU135" s="89">
        <f t="shared" si="3"/>
        <v>13.75</v>
      </c>
      <c r="BV135" s="89">
        <f t="shared" si="13"/>
        <v>0</v>
      </c>
      <c r="BW135" s="89">
        <f t="shared" si="14"/>
        <v>0</v>
      </c>
      <c r="BX135" s="89">
        <f t="shared" si="29"/>
        <v>0</v>
      </c>
      <c r="BY135" s="89" t="e">
        <f t="shared" si="4"/>
        <v>#REF!</v>
      </c>
      <c r="BZ135" s="89" t="e">
        <f t="shared" si="15"/>
        <v>#REF!</v>
      </c>
      <c r="CA135" s="89" t="e">
        <f t="shared" si="16"/>
        <v>#REF!</v>
      </c>
      <c r="CB135" s="89" t="e">
        <f t="shared" si="30"/>
        <v>#REF!</v>
      </c>
    </row>
    <row r="136" spans="1:80" ht="14.25" hidden="1" customHeight="1">
      <c r="A136" s="93">
        <v>129</v>
      </c>
      <c r="B136" s="82"/>
      <c r="C136" s="82"/>
      <c r="D136" s="100"/>
      <c r="E136" s="82"/>
      <c r="F136" s="82"/>
      <c r="G136" s="82"/>
      <c r="H136" s="82"/>
      <c r="I136" s="96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97">
        <f t="shared" si="21"/>
        <v>0</v>
      </c>
      <c r="W136" s="184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32"/>
      <c r="AW136" s="126">
        <f t="shared" si="31"/>
        <v>0</v>
      </c>
      <c r="AX136" s="39"/>
      <c r="AY136" s="39"/>
      <c r="AZ136" s="97">
        <f t="shared" si="40"/>
        <v>0</v>
      </c>
      <c r="BA136" s="98"/>
      <c r="BB136" s="97">
        <f t="shared" si="41"/>
        <v>0</v>
      </c>
      <c r="BC136" s="90"/>
      <c r="BD136" s="89">
        <f t="shared" ref="BD136:BD199" si="43">SUM(P136:S136)</f>
        <v>0</v>
      </c>
      <c r="BE136" s="98"/>
      <c r="BF136" s="89">
        <f t="shared" si="42"/>
        <v>0</v>
      </c>
      <c r="BG136" s="99"/>
      <c r="BH136" s="66"/>
      <c r="BI136" s="89">
        <f t="shared" si="0"/>
        <v>38.75</v>
      </c>
      <c r="BJ136" s="89">
        <f t="shared" si="7"/>
        <v>0</v>
      </c>
      <c r="BK136" s="89">
        <f t="shared" si="32"/>
        <v>0</v>
      </c>
      <c r="BL136" s="89">
        <f t="shared" si="26"/>
        <v>0</v>
      </c>
      <c r="BM136" s="89">
        <f t="shared" si="1"/>
        <v>27.5</v>
      </c>
      <c r="BN136" s="89">
        <f t="shared" si="9"/>
        <v>0</v>
      </c>
      <c r="BO136" s="89">
        <f t="shared" si="10"/>
        <v>0</v>
      </c>
      <c r="BP136" s="89">
        <f t="shared" si="27"/>
        <v>0</v>
      </c>
      <c r="BQ136" s="89">
        <f t="shared" si="2"/>
        <v>20</v>
      </c>
      <c r="BR136" s="89">
        <f t="shared" si="11"/>
        <v>0</v>
      </c>
      <c r="BS136" s="89">
        <f t="shared" si="12"/>
        <v>0</v>
      </c>
      <c r="BT136" s="89">
        <f t="shared" si="28"/>
        <v>0</v>
      </c>
      <c r="BU136" s="89">
        <f t="shared" si="3"/>
        <v>13.75</v>
      </c>
      <c r="BV136" s="89">
        <f t="shared" si="13"/>
        <v>0</v>
      </c>
      <c r="BW136" s="89">
        <f t="shared" si="14"/>
        <v>0</v>
      </c>
      <c r="BX136" s="89">
        <f t="shared" si="29"/>
        <v>0</v>
      </c>
      <c r="BY136" s="89" t="e">
        <f t="shared" si="4"/>
        <v>#REF!</v>
      </c>
      <c r="BZ136" s="89" t="e">
        <f t="shared" si="15"/>
        <v>#REF!</v>
      </c>
      <c r="CA136" s="89" t="e">
        <f t="shared" si="16"/>
        <v>#REF!</v>
      </c>
      <c r="CB136" s="89" t="e">
        <f t="shared" si="30"/>
        <v>#REF!</v>
      </c>
    </row>
    <row r="137" spans="1:80" ht="14.25" hidden="1" customHeight="1">
      <c r="A137" s="93">
        <v>130</v>
      </c>
      <c r="B137" s="82"/>
      <c r="C137" s="82"/>
      <c r="D137" s="100"/>
      <c r="E137" s="82"/>
      <c r="F137" s="82"/>
      <c r="G137" s="82"/>
      <c r="H137" s="82"/>
      <c r="I137" s="96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97">
        <f t="shared" si="21"/>
        <v>0</v>
      </c>
      <c r="W137" s="184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32"/>
      <c r="AW137" s="126">
        <f t="shared" si="31"/>
        <v>0</v>
      </c>
      <c r="AX137" s="39"/>
      <c r="AY137" s="39"/>
      <c r="AZ137" s="97">
        <f t="shared" si="40"/>
        <v>0</v>
      </c>
      <c r="BA137" s="98"/>
      <c r="BB137" s="97">
        <f t="shared" si="41"/>
        <v>0</v>
      </c>
      <c r="BC137" s="90"/>
      <c r="BD137" s="89">
        <f t="shared" si="43"/>
        <v>0</v>
      </c>
      <c r="BE137" s="98"/>
      <c r="BF137" s="89">
        <f t="shared" si="42"/>
        <v>0</v>
      </c>
      <c r="BG137" s="99"/>
      <c r="BH137" s="66"/>
      <c r="BI137" s="89">
        <f t="shared" si="0"/>
        <v>38.75</v>
      </c>
      <c r="BJ137" s="89">
        <f t="shared" si="7"/>
        <v>0</v>
      </c>
      <c r="BK137" s="89">
        <f t="shared" si="32"/>
        <v>0</v>
      </c>
      <c r="BL137" s="89">
        <f t="shared" si="26"/>
        <v>0</v>
      </c>
      <c r="BM137" s="89">
        <f t="shared" si="1"/>
        <v>27.5</v>
      </c>
      <c r="BN137" s="89">
        <f t="shared" si="9"/>
        <v>0</v>
      </c>
      <c r="BO137" s="89">
        <f t="shared" si="10"/>
        <v>0</v>
      </c>
      <c r="BP137" s="89">
        <f t="shared" si="27"/>
        <v>0</v>
      </c>
      <c r="BQ137" s="89">
        <f t="shared" si="2"/>
        <v>20</v>
      </c>
      <c r="BR137" s="89">
        <f t="shared" si="11"/>
        <v>0</v>
      </c>
      <c r="BS137" s="89">
        <f t="shared" si="12"/>
        <v>0</v>
      </c>
      <c r="BT137" s="89">
        <f t="shared" si="28"/>
        <v>0</v>
      </c>
      <c r="BU137" s="89">
        <f t="shared" si="3"/>
        <v>13.75</v>
      </c>
      <c r="BV137" s="89">
        <f t="shared" si="13"/>
        <v>0</v>
      </c>
      <c r="BW137" s="89">
        <f t="shared" si="14"/>
        <v>0</v>
      </c>
      <c r="BX137" s="89">
        <f t="shared" si="29"/>
        <v>0</v>
      </c>
      <c r="BY137" s="89" t="e">
        <f t="shared" si="4"/>
        <v>#REF!</v>
      </c>
      <c r="BZ137" s="89" t="e">
        <f t="shared" si="15"/>
        <v>#REF!</v>
      </c>
      <c r="CA137" s="89" t="e">
        <f t="shared" si="16"/>
        <v>#REF!</v>
      </c>
      <c r="CB137" s="89" t="e">
        <f t="shared" si="30"/>
        <v>#REF!</v>
      </c>
    </row>
    <row r="138" spans="1:80" ht="14.25" hidden="1" customHeight="1">
      <c r="A138" s="93">
        <v>131</v>
      </c>
      <c r="B138" s="82"/>
      <c r="C138" s="82"/>
      <c r="D138" s="100"/>
      <c r="E138" s="82"/>
      <c r="F138" s="82"/>
      <c r="G138" s="82"/>
      <c r="H138" s="82"/>
      <c r="I138" s="96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97">
        <f t="shared" si="21"/>
        <v>0</v>
      </c>
      <c r="W138" s="184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32"/>
      <c r="AW138" s="126">
        <f t="shared" si="31"/>
        <v>0</v>
      </c>
      <c r="AX138" s="39"/>
      <c r="AY138" s="39"/>
      <c r="AZ138" s="97">
        <f t="shared" si="40"/>
        <v>0</v>
      </c>
      <c r="BA138" s="98"/>
      <c r="BB138" s="97">
        <f t="shared" si="41"/>
        <v>0</v>
      </c>
      <c r="BC138" s="90"/>
      <c r="BD138" s="89">
        <f t="shared" si="43"/>
        <v>0</v>
      </c>
      <c r="BE138" s="98"/>
      <c r="BF138" s="89">
        <f t="shared" si="42"/>
        <v>0</v>
      </c>
      <c r="BG138" s="99"/>
      <c r="BH138" s="66"/>
      <c r="BI138" s="89">
        <f t="shared" si="0"/>
        <v>38.75</v>
      </c>
      <c r="BJ138" s="89">
        <f t="shared" si="7"/>
        <v>0</v>
      </c>
      <c r="BK138" s="89">
        <f t="shared" si="32"/>
        <v>0</v>
      </c>
      <c r="BL138" s="89">
        <f t="shared" si="26"/>
        <v>0</v>
      </c>
      <c r="BM138" s="89">
        <f t="shared" si="1"/>
        <v>27.5</v>
      </c>
      <c r="BN138" s="89">
        <f t="shared" si="9"/>
        <v>0</v>
      </c>
      <c r="BO138" s="89">
        <f t="shared" si="10"/>
        <v>0</v>
      </c>
      <c r="BP138" s="89">
        <f t="shared" si="27"/>
        <v>0</v>
      </c>
      <c r="BQ138" s="89">
        <f t="shared" si="2"/>
        <v>20</v>
      </c>
      <c r="BR138" s="89">
        <f t="shared" si="11"/>
        <v>0</v>
      </c>
      <c r="BS138" s="89">
        <f t="shared" si="12"/>
        <v>0</v>
      </c>
      <c r="BT138" s="89">
        <f t="shared" si="28"/>
        <v>0</v>
      </c>
      <c r="BU138" s="89">
        <f t="shared" si="3"/>
        <v>13.75</v>
      </c>
      <c r="BV138" s="89">
        <f t="shared" si="13"/>
        <v>0</v>
      </c>
      <c r="BW138" s="89">
        <f t="shared" si="14"/>
        <v>0</v>
      </c>
      <c r="BX138" s="89">
        <f t="shared" si="29"/>
        <v>0</v>
      </c>
      <c r="BY138" s="89" t="e">
        <f t="shared" si="4"/>
        <v>#REF!</v>
      </c>
      <c r="BZ138" s="89" t="e">
        <f t="shared" si="15"/>
        <v>#REF!</v>
      </c>
      <c r="CA138" s="89" t="e">
        <f t="shared" si="16"/>
        <v>#REF!</v>
      </c>
      <c r="CB138" s="89" t="e">
        <f t="shared" si="30"/>
        <v>#REF!</v>
      </c>
    </row>
    <row r="139" spans="1:80" ht="14.25" hidden="1" customHeight="1">
      <c r="A139" s="93">
        <v>132</v>
      </c>
      <c r="B139" s="82"/>
      <c r="C139" s="82"/>
      <c r="D139" s="100"/>
      <c r="E139" s="82"/>
      <c r="F139" s="82"/>
      <c r="G139" s="82"/>
      <c r="H139" s="82"/>
      <c r="I139" s="96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97">
        <f t="shared" si="21"/>
        <v>0</v>
      </c>
      <c r="W139" s="184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32"/>
      <c r="AW139" s="126">
        <f t="shared" si="31"/>
        <v>0</v>
      </c>
      <c r="AX139" s="39"/>
      <c r="AY139" s="39"/>
      <c r="AZ139" s="97">
        <f t="shared" si="40"/>
        <v>0</v>
      </c>
      <c r="BA139" s="98"/>
      <c r="BB139" s="97">
        <f t="shared" si="41"/>
        <v>0</v>
      </c>
      <c r="BC139" s="90"/>
      <c r="BD139" s="89">
        <f t="shared" si="43"/>
        <v>0</v>
      </c>
      <c r="BE139" s="98"/>
      <c r="BF139" s="89">
        <f t="shared" si="42"/>
        <v>0</v>
      </c>
      <c r="BG139" s="99"/>
      <c r="BH139" s="66"/>
      <c r="BI139" s="89">
        <f t="shared" si="0"/>
        <v>38.75</v>
      </c>
      <c r="BJ139" s="89">
        <f t="shared" si="7"/>
        <v>0</v>
      </c>
      <c r="BK139" s="89">
        <f t="shared" si="32"/>
        <v>0</v>
      </c>
      <c r="BL139" s="89">
        <f t="shared" si="26"/>
        <v>0</v>
      </c>
      <c r="BM139" s="89">
        <f t="shared" si="1"/>
        <v>27.5</v>
      </c>
      <c r="BN139" s="89">
        <f t="shared" si="9"/>
        <v>0</v>
      </c>
      <c r="BO139" s="89">
        <f t="shared" si="10"/>
        <v>0</v>
      </c>
      <c r="BP139" s="89">
        <f t="shared" si="27"/>
        <v>0</v>
      </c>
      <c r="BQ139" s="89">
        <f t="shared" si="2"/>
        <v>20</v>
      </c>
      <c r="BR139" s="89">
        <f t="shared" si="11"/>
        <v>0</v>
      </c>
      <c r="BS139" s="89">
        <f t="shared" si="12"/>
        <v>0</v>
      </c>
      <c r="BT139" s="89">
        <f t="shared" si="28"/>
        <v>0</v>
      </c>
      <c r="BU139" s="89">
        <f t="shared" si="3"/>
        <v>13.75</v>
      </c>
      <c r="BV139" s="89">
        <f t="shared" si="13"/>
        <v>0</v>
      </c>
      <c r="BW139" s="89">
        <f t="shared" si="14"/>
        <v>0</v>
      </c>
      <c r="BX139" s="89">
        <f t="shared" si="29"/>
        <v>0</v>
      </c>
      <c r="BY139" s="89" t="e">
        <f t="shared" si="4"/>
        <v>#REF!</v>
      </c>
      <c r="BZ139" s="89" t="e">
        <f t="shared" si="15"/>
        <v>#REF!</v>
      </c>
      <c r="CA139" s="89" t="e">
        <f t="shared" si="16"/>
        <v>#REF!</v>
      </c>
      <c r="CB139" s="89" t="e">
        <f t="shared" si="30"/>
        <v>#REF!</v>
      </c>
    </row>
    <row r="140" spans="1:80" ht="14.25" hidden="1" customHeight="1">
      <c r="A140" s="93">
        <v>133</v>
      </c>
      <c r="B140" s="82"/>
      <c r="C140" s="82"/>
      <c r="D140" s="100"/>
      <c r="E140" s="82"/>
      <c r="F140" s="82"/>
      <c r="G140" s="82"/>
      <c r="H140" s="82"/>
      <c r="I140" s="96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97">
        <f t="shared" si="21"/>
        <v>0</v>
      </c>
      <c r="W140" s="184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32"/>
      <c r="AW140" s="126">
        <f t="shared" si="31"/>
        <v>0</v>
      </c>
      <c r="AX140" s="39"/>
      <c r="AY140" s="39"/>
      <c r="AZ140" s="97">
        <f t="shared" si="40"/>
        <v>0</v>
      </c>
      <c r="BA140" s="98"/>
      <c r="BB140" s="97">
        <f t="shared" si="41"/>
        <v>0</v>
      </c>
      <c r="BC140" s="90"/>
      <c r="BD140" s="89">
        <f t="shared" si="43"/>
        <v>0</v>
      </c>
      <c r="BE140" s="98"/>
      <c r="BF140" s="89">
        <f t="shared" si="42"/>
        <v>0</v>
      </c>
      <c r="BG140" s="99"/>
      <c r="BH140" s="66"/>
      <c r="BI140" s="89">
        <f t="shared" si="0"/>
        <v>38.75</v>
      </c>
      <c r="BJ140" s="89">
        <f t="shared" si="7"/>
        <v>0</v>
      </c>
      <c r="BK140" s="89">
        <f t="shared" si="32"/>
        <v>0</v>
      </c>
      <c r="BL140" s="89">
        <f t="shared" si="26"/>
        <v>0</v>
      </c>
      <c r="BM140" s="89">
        <f t="shared" si="1"/>
        <v>27.5</v>
      </c>
      <c r="BN140" s="89">
        <f t="shared" si="9"/>
        <v>0</v>
      </c>
      <c r="BO140" s="89">
        <f t="shared" si="10"/>
        <v>0</v>
      </c>
      <c r="BP140" s="89">
        <f t="shared" si="27"/>
        <v>0</v>
      </c>
      <c r="BQ140" s="89">
        <f t="shared" si="2"/>
        <v>20</v>
      </c>
      <c r="BR140" s="89">
        <f t="shared" si="11"/>
        <v>0</v>
      </c>
      <c r="BS140" s="89">
        <f t="shared" si="12"/>
        <v>0</v>
      </c>
      <c r="BT140" s="89">
        <f t="shared" si="28"/>
        <v>0</v>
      </c>
      <c r="BU140" s="89">
        <f t="shared" si="3"/>
        <v>13.75</v>
      </c>
      <c r="BV140" s="89">
        <f t="shared" si="13"/>
        <v>0</v>
      </c>
      <c r="BW140" s="89">
        <f t="shared" si="14"/>
        <v>0</v>
      </c>
      <c r="BX140" s="89">
        <f t="shared" si="29"/>
        <v>0</v>
      </c>
      <c r="BY140" s="89" t="e">
        <f t="shared" si="4"/>
        <v>#REF!</v>
      </c>
      <c r="BZ140" s="89" t="e">
        <f t="shared" si="15"/>
        <v>#REF!</v>
      </c>
      <c r="CA140" s="89" t="e">
        <f t="shared" si="16"/>
        <v>#REF!</v>
      </c>
      <c r="CB140" s="89" t="e">
        <f t="shared" si="30"/>
        <v>#REF!</v>
      </c>
    </row>
    <row r="141" spans="1:80" ht="14.25" hidden="1" customHeight="1">
      <c r="A141" s="93">
        <v>134</v>
      </c>
      <c r="B141" s="82"/>
      <c r="C141" s="82"/>
      <c r="D141" s="100"/>
      <c r="E141" s="82"/>
      <c r="F141" s="82"/>
      <c r="G141" s="82"/>
      <c r="H141" s="82"/>
      <c r="I141" s="96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97">
        <f t="shared" si="21"/>
        <v>0</v>
      </c>
      <c r="W141" s="184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32"/>
      <c r="AW141" s="126">
        <f t="shared" si="31"/>
        <v>0</v>
      </c>
      <c r="AX141" s="39"/>
      <c r="AY141" s="39"/>
      <c r="AZ141" s="97">
        <f t="shared" si="40"/>
        <v>0</v>
      </c>
      <c r="BA141" s="98"/>
      <c r="BB141" s="97">
        <f t="shared" si="41"/>
        <v>0</v>
      </c>
      <c r="BC141" s="90"/>
      <c r="BD141" s="89">
        <f t="shared" si="43"/>
        <v>0</v>
      </c>
      <c r="BE141" s="98"/>
      <c r="BF141" s="89">
        <f t="shared" si="42"/>
        <v>0</v>
      </c>
      <c r="BG141" s="99"/>
      <c r="BH141" s="66"/>
      <c r="BI141" s="89">
        <f t="shared" si="0"/>
        <v>38.75</v>
      </c>
      <c r="BJ141" s="89">
        <f t="shared" si="7"/>
        <v>0</v>
      </c>
      <c r="BK141" s="89">
        <f t="shared" si="32"/>
        <v>0</v>
      </c>
      <c r="BL141" s="89">
        <f t="shared" si="26"/>
        <v>0</v>
      </c>
      <c r="BM141" s="89">
        <f t="shared" si="1"/>
        <v>27.5</v>
      </c>
      <c r="BN141" s="89">
        <f t="shared" si="9"/>
        <v>0</v>
      </c>
      <c r="BO141" s="89">
        <f t="shared" si="10"/>
        <v>0</v>
      </c>
      <c r="BP141" s="89">
        <f t="shared" si="27"/>
        <v>0</v>
      </c>
      <c r="BQ141" s="89">
        <f t="shared" si="2"/>
        <v>20</v>
      </c>
      <c r="BR141" s="89">
        <f t="shared" si="11"/>
        <v>0</v>
      </c>
      <c r="BS141" s="89">
        <f t="shared" si="12"/>
        <v>0</v>
      </c>
      <c r="BT141" s="89">
        <f t="shared" si="28"/>
        <v>0</v>
      </c>
      <c r="BU141" s="89">
        <f t="shared" si="3"/>
        <v>13.75</v>
      </c>
      <c r="BV141" s="89">
        <f t="shared" si="13"/>
        <v>0</v>
      </c>
      <c r="BW141" s="89">
        <f t="shared" si="14"/>
        <v>0</v>
      </c>
      <c r="BX141" s="89">
        <f t="shared" si="29"/>
        <v>0</v>
      </c>
      <c r="BY141" s="89" t="e">
        <f t="shared" si="4"/>
        <v>#REF!</v>
      </c>
      <c r="BZ141" s="89" t="e">
        <f t="shared" si="15"/>
        <v>#REF!</v>
      </c>
      <c r="CA141" s="89" t="e">
        <f t="shared" si="16"/>
        <v>#REF!</v>
      </c>
      <c r="CB141" s="89" t="e">
        <f t="shared" si="30"/>
        <v>#REF!</v>
      </c>
    </row>
    <row r="142" spans="1:80" ht="14.25" hidden="1" customHeight="1">
      <c r="A142" s="93">
        <v>135</v>
      </c>
      <c r="B142" s="82"/>
      <c r="C142" s="82"/>
      <c r="D142" s="100"/>
      <c r="E142" s="82"/>
      <c r="F142" s="82"/>
      <c r="G142" s="82"/>
      <c r="H142" s="82"/>
      <c r="I142" s="96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97">
        <f t="shared" si="21"/>
        <v>0</v>
      </c>
      <c r="W142" s="184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32"/>
      <c r="AW142" s="126">
        <f t="shared" si="31"/>
        <v>0</v>
      </c>
      <c r="AX142" s="39"/>
      <c r="AY142" s="39"/>
      <c r="AZ142" s="97">
        <f t="shared" si="40"/>
        <v>0</v>
      </c>
      <c r="BA142" s="98"/>
      <c r="BB142" s="97">
        <f t="shared" si="41"/>
        <v>0</v>
      </c>
      <c r="BC142" s="90"/>
      <c r="BD142" s="89">
        <f t="shared" si="43"/>
        <v>0</v>
      </c>
      <c r="BE142" s="98"/>
      <c r="BF142" s="89">
        <f t="shared" si="42"/>
        <v>0</v>
      </c>
      <c r="BG142" s="99"/>
      <c r="BH142" s="66"/>
      <c r="BI142" s="89">
        <f t="shared" si="0"/>
        <v>38.75</v>
      </c>
      <c r="BJ142" s="89">
        <f t="shared" si="7"/>
        <v>0</v>
      </c>
      <c r="BK142" s="89">
        <f t="shared" si="32"/>
        <v>0</v>
      </c>
      <c r="BL142" s="89">
        <f t="shared" si="26"/>
        <v>0</v>
      </c>
      <c r="BM142" s="89">
        <f t="shared" si="1"/>
        <v>27.5</v>
      </c>
      <c r="BN142" s="89">
        <f t="shared" si="9"/>
        <v>0</v>
      </c>
      <c r="BO142" s="89">
        <f t="shared" si="10"/>
        <v>0</v>
      </c>
      <c r="BP142" s="89">
        <f t="shared" si="27"/>
        <v>0</v>
      </c>
      <c r="BQ142" s="89">
        <f t="shared" si="2"/>
        <v>20</v>
      </c>
      <c r="BR142" s="89">
        <f t="shared" si="11"/>
        <v>0</v>
      </c>
      <c r="BS142" s="89">
        <f t="shared" si="12"/>
        <v>0</v>
      </c>
      <c r="BT142" s="89">
        <f t="shared" si="28"/>
        <v>0</v>
      </c>
      <c r="BU142" s="89">
        <f t="shared" si="3"/>
        <v>13.75</v>
      </c>
      <c r="BV142" s="89">
        <f t="shared" si="13"/>
        <v>0</v>
      </c>
      <c r="BW142" s="89">
        <f t="shared" si="14"/>
        <v>0</v>
      </c>
      <c r="BX142" s="89">
        <f t="shared" si="29"/>
        <v>0</v>
      </c>
      <c r="BY142" s="89" t="e">
        <f t="shared" si="4"/>
        <v>#REF!</v>
      </c>
      <c r="BZ142" s="89" t="e">
        <f t="shared" si="15"/>
        <v>#REF!</v>
      </c>
      <c r="CA142" s="89" t="e">
        <f t="shared" si="16"/>
        <v>#REF!</v>
      </c>
      <c r="CB142" s="89" t="e">
        <f t="shared" si="30"/>
        <v>#REF!</v>
      </c>
    </row>
    <row r="143" spans="1:80" ht="14.25" hidden="1" customHeight="1">
      <c r="A143" s="93">
        <v>136</v>
      </c>
      <c r="B143" s="82"/>
      <c r="C143" s="82"/>
      <c r="D143" s="100"/>
      <c r="E143" s="82"/>
      <c r="F143" s="82"/>
      <c r="G143" s="82"/>
      <c r="H143" s="82"/>
      <c r="I143" s="96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97">
        <f t="shared" si="21"/>
        <v>0</v>
      </c>
      <c r="W143" s="184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32"/>
      <c r="AW143" s="126">
        <f t="shared" si="31"/>
        <v>0</v>
      </c>
      <c r="AX143" s="39"/>
      <c r="AY143" s="39"/>
      <c r="AZ143" s="97">
        <f t="shared" si="40"/>
        <v>0</v>
      </c>
      <c r="BA143" s="98"/>
      <c r="BB143" s="97">
        <f t="shared" si="41"/>
        <v>0</v>
      </c>
      <c r="BC143" s="90"/>
      <c r="BD143" s="89">
        <f t="shared" si="43"/>
        <v>0</v>
      </c>
      <c r="BE143" s="98"/>
      <c r="BF143" s="89">
        <f t="shared" si="42"/>
        <v>0</v>
      </c>
      <c r="BG143" s="99"/>
      <c r="BH143" s="66"/>
      <c r="BI143" s="89">
        <f t="shared" si="0"/>
        <v>38.75</v>
      </c>
      <c r="BJ143" s="89">
        <f t="shared" si="7"/>
        <v>0</v>
      </c>
      <c r="BK143" s="89">
        <f t="shared" si="32"/>
        <v>0</v>
      </c>
      <c r="BL143" s="89">
        <f t="shared" si="26"/>
        <v>0</v>
      </c>
      <c r="BM143" s="89">
        <f t="shared" si="1"/>
        <v>27.5</v>
      </c>
      <c r="BN143" s="89">
        <f t="shared" si="9"/>
        <v>0</v>
      </c>
      <c r="BO143" s="89">
        <f t="shared" si="10"/>
        <v>0</v>
      </c>
      <c r="BP143" s="89">
        <f t="shared" si="27"/>
        <v>0</v>
      </c>
      <c r="BQ143" s="89">
        <f t="shared" si="2"/>
        <v>20</v>
      </c>
      <c r="BR143" s="89">
        <f t="shared" si="11"/>
        <v>0</v>
      </c>
      <c r="BS143" s="89">
        <f t="shared" si="12"/>
        <v>0</v>
      </c>
      <c r="BT143" s="89">
        <f t="shared" si="28"/>
        <v>0</v>
      </c>
      <c r="BU143" s="89">
        <f t="shared" si="3"/>
        <v>13.75</v>
      </c>
      <c r="BV143" s="89">
        <f t="shared" si="13"/>
        <v>0</v>
      </c>
      <c r="BW143" s="89">
        <f t="shared" si="14"/>
        <v>0</v>
      </c>
      <c r="BX143" s="89">
        <f t="shared" si="29"/>
        <v>0</v>
      </c>
      <c r="BY143" s="89" t="e">
        <f t="shared" si="4"/>
        <v>#REF!</v>
      </c>
      <c r="BZ143" s="89" t="e">
        <f t="shared" si="15"/>
        <v>#REF!</v>
      </c>
      <c r="CA143" s="89" t="e">
        <f t="shared" si="16"/>
        <v>#REF!</v>
      </c>
      <c r="CB143" s="89" t="e">
        <f t="shared" si="30"/>
        <v>#REF!</v>
      </c>
    </row>
    <row r="144" spans="1:80" ht="14.25" hidden="1" customHeight="1">
      <c r="A144" s="93">
        <v>137</v>
      </c>
      <c r="B144" s="82"/>
      <c r="C144" s="82"/>
      <c r="D144" s="100"/>
      <c r="E144" s="82"/>
      <c r="F144" s="82"/>
      <c r="G144" s="82"/>
      <c r="H144" s="82"/>
      <c r="I144" s="96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97">
        <f t="shared" si="21"/>
        <v>0</v>
      </c>
      <c r="W144" s="184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32"/>
      <c r="AW144" s="126">
        <f t="shared" si="31"/>
        <v>0</v>
      </c>
      <c r="AX144" s="39"/>
      <c r="AY144" s="39"/>
      <c r="AZ144" s="97">
        <f t="shared" si="40"/>
        <v>0</v>
      </c>
      <c r="BA144" s="98"/>
      <c r="BB144" s="97">
        <f t="shared" si="41"/>
        <v>0</v>
      </c>
      <c r="BC144" s="90"/>
      <c r="BD144" s="89">
        <f t="shared" si="43"/>
        <v>0</v>
      </c>
      <c r="BE144" s="98"/>
      <c r="BF144" s="89">
        <f t="shared" si="42"/>
        <v>0</v>
      </c>
      <c r="BG144" s="99"/>
      <c r="BH144" s="66"/>
      <c r="BI144" s="89">
        <f t="shared" si="0"/>
        <v>38.75</v>
      </c>
      <c r="BJ144" s="89">
        <f t="shared" si="7"/>
        <v>0</v>
      </c>
      <c r="BK144" s="89">
        <f t="shared" si="32"/>
        <v>0</v>
      </c>
      <c r="BL144" s="89">
        <f t="shared" si="26"/>
        <v>0</v>
      </c>
      <c r="BM144" s="89">
        <f t="shared" si="1"/>
        <v>27.5</v>
      </c>
      <c r="BN144" s="89">
        <f t="shared" si="9"/>
        <v>0</v>
      </c>
      <c r="BO144" s="89">
        <f t="shared" si="10"/>
        <v>0</v>
      </c>
      <c r="BP144" s="89">
        <f t="shared" si="27"/>
        <v>0</v>
      </c>
      <c r="BQ144" s="89">
        <f t="shared" si="2"/>
        <v>20</v>
      </c>
      <c r="BR144" s="89">
        <f t="shared" si="11"/>
        <v>0</v>
      </c>
      <c r="BS144" s="89">
        <f t="shared" si="12"/>
        <v>0</v>
      </c>
      <c r="BT144" s="89">
        <f t="shared" si="28"/>
        <v>0</v>
      </c>
      <c r="BU144" s="89">
        <f t="shared" si="3"/>
        <v>13.75</v>
      </c>
      <c r="BV144" s="89">
        <f t="shared" si="13"/>
        <v>0</v>
      </c>
      <c r="BW144" s="89">
        <f t="shared" si="14"/>
        <v>0</v>
      </c>
      <c r="BX144" s="89">
        <f t="shared" si="29"/>
        <v>0</v>
      </c>
      <c r="BY144" s="89" t="e">
        <f t="shared" si="4"/>
        <v>#REF!</v>
      </c>
      <c r="BZ144" s="89" t="e">
        <f t="shared" si="15"/>
        <v>#REF!</v>
      </c>
      <c r="CA144" s="89" t="e">
        <f t="shared" si="16"/>
        <v>#REF!</v>
      </c>
      <c r="CB144" s="89" t="e">
        <f t="shared" si="30"/>
        <v>#REF!</v>
      </c>
    </row>
    <row r="145" spans="1:80" ht="14.25" hidden="1" customHeight="1">
      <c r="A145" s="93">
        <v>138</v>
      </c>
      <c r="B145" s="82"/>
      <c r="C145" s="82"/>
      <c r="D145" s="100"/>
      <c r="E145" s="82"/>
      <c r="F145" s="82"/>
      <c r="G145" s="82"/>
      <c r="H145" s="82"/>
      <c r="I145" s="96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97">
        <f t="shared" si="21"/>
        <v>0</v>
      </c>
      <c r="W145" s="184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32"/>
      <c r="AW145" s="126">
        <f t="shared" si="31"/>
        <v>0</v>
      </c>
      <c r="AX145" s="39"/>
      <c r="AY145" s="39"/>
      <c r="AZ145" s="97">
        <f t="shared" si="40"/>
        <v>0</v>
      </c>
      <c r="BA145" s="98"/>
      <c r="BB145" s="97">
        <f t="shared" si="41"/>
        <v>0</v>
      </c>
      <c r="BC145" s="90"/>
      <c r="BD145" s="89">
        <f t="shared" si="43"/>
        <v>0</v>
      </c>
      <c r="BE145" s="98"/>
      <c r="BF145" s="89">
        <f t="shared" si="42"/>
        <v>0</v>
      </c>
      <c r="BG145" s="99"/>
      <c r="BH145" s="66"/>
      <c r="BI145" s="89">
        <f t="shared" si="0"/>
        <v>38.75</v>
      </c>
      <c r="BJ145" s="89">
        <f t="shared" si="7"/>
        <v>0</v>
      </c>
      <c r="BK145" s="89">
        <f t="shared" si="32"/>
        <v>0</v>
      </c>
      <c r="BL145" s="89">
        <f t="shared" si="26"/>
        <v>0</v>
      </c>
      <c r="BM145" s="89">
        <f t="shared" si="1"/>
        <v>27.5</v>
      </c>
      <c r="BN145" s="89">
        <f t="shared" si="9"/>
        <v>0</v>
      </c>
      <c r="BO145" s="89">
        <f t="shared" si="10"/>
        <v>0</v>
      </c>
      <c r="BP145" s="89">
        <f t="shared" si="27"/>
        <v>0</v>
      </c>
      <c r="BQ145" s="89">
        <f t="shared" si="2"/>
        <v>20</v>
      </c>
      <c r="BR145" s="89">
        <f t="shared" si="11"/>
        <v>0</v>
      </c>
      <c r="BS145" s="89">
        <f t="shared" si="12"/>
        <v>0</v>
      </c>
      <c r="BT145" s="89">
        <f t="shared" si="28"/>
        <v>0</v>
      </c>
      <c r="BU145" s="89">
        <f t="shared" si="3"/>
        <v>13.75</v>
      </c>
      <c r="BV145" s="89">
        <f t="shared" si="13"/>
        <v>0</v>
      </c>
      <c r="BW145" s="89">
        <f t="shared" si="14"/>
        <v>0</v>
      </c>
      <c r="BX145" s="89">
        <f t="shared" si="29"/>
        <v>0</v>
      </c>
      <c r="BY145" s="89" t="e">
        <f t="shared" si="4"/>
        <v>#REF!</v>
      </c>
      <c r="BZ145" s="89" t="e">
        <f t="shared" si="15"/>
        <v>#REF!</v>
      </c>
      <c r="CA145" s="89" t="e">
        <f t="shared" si="16"/>
        <v>#REF!</v>
      </c>
      <c r="CB145" s="89" t="e">
        <f t="shared" si="30"/>
        <v>#REF!</v>
      </c>
    </row>
    <row r="146" spans="1:80" ht="14.25" hidden="1" customHeight="1">
      <c r="A146" s="93">
        <v>139</v>
      </c>
      <c r="B146" s="82"/>
      <c r="C146" s="82"/>
      <c r="D146" s="100"/>
      <c r="E146" s="82"/>
      <c r="F146" s="82"/>
      <c r="G146" s="82"/>
      <c r="H146" s="82"/>
      <c r="I146" s="96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97">
        <f t="shared" si="21"/>
        <v>0</v>
      </c>
      <c r="W146" s="184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32"/>
      <c r="AW146" s="126">
        <f t="shared" si="31"/>
        <v>0</v>
      </c>
      <c r="AX146" s="39"/>
      <c r="AY146" s="39"/>
      <c r="AZ146" s="97">
        <f t="shared" si="40"/>
        <v>0</v>
      </c>
      <c r="BA146" s="98"/>
      <c r="BB146" s="97">
        <f t="shared" si="41"/>
        <v>0</v>
      </c>
      <c r="BC146" s="90"/>
      <c r="BD146" s="89">
        <f t="shared" si="43"/>
        <v>0</v>
      </c>
      <c r="BE146" s="98"/>
      <c r="BF146" s="89">
        <f t="shared" si="42"/>
        <v>0</v>
      </c>
      <c r="BG146" s="99"/>
      <c r="BH146" s="66"/>
      <c r="BI146" s="89">
        <f t="shared" si="0"/>
        <v>38.75</v>
      </c>
      <c r="BJ146" s="89">
        <f t="shared" si="7"/>
        <v>0</v>
      </c>
      <c r="BK146" s="89">
        <f t="shared" si="32"/>
        <v>0</v>
      </c>
      <c r="BL146" s="89">
        <f t="shared" si="26"/>
        <v>0</v>
      </c>
      <c r="BM146" s="89">
        <f t="shared" si="1"/>
        <v>27.5</v>
      </c>
      <c r="BN146" s="89">
        <f t="shared" si="9"/>
        <v>0</v>
      </c>
      <c r="BO146" s="89">
        <f t="shared" si="10"/>
        <v>0</v>
      </c>
      <c r="BP146" s="89">
        <f t="shared" si="27"/>
        <v>0</v>
      </c>
      <c r="BQ146" s="89">
        <f t="shared" si="2"/>
        <v>20</v>
      </c>
      <c r="BR146" s="89">
        <f t="shared" si="11"/>
        <v>0</v>
      </c>
      <c r="BS146" s="89">
        <f t="shared" si="12"/>
        <v>0</v>
      </c>
      <c r="BT146" s="89">
        <f t="shared" si="28"/>
        <v>0</v>
      </c>
      <c r="BU146" s="89">
        <f t="shared" si="3"/>
        <v>13.75</v>
      </c>
      <c r="BV146" s="89">
        <f t="shared" si="13"/>
        <v>0</v>
      </c>
      <c r="BW146" s="89">
        <f t="shared" si="14"/>
        <v>0</v>
      </c>
      <c r="BX146" s="89">
        <f t="shared" si="29"/>
        <v>0</v>
      </c>
      <c r="BY146" s="89" t="e">
        <f t="shared" si="4"/>
        <v>#REF!</v>
      </c>
      <c r="BZ146" s="89" t="e">
        <f t="shared" si="15"/>
        <v>#REF!</v>
      </c>
      <c r="CA146" s="89" t="e">
        <f t="shared" si="16"/>
        <v>#REF!</v>
      </c>
      <c r="CB146" s="89" t="e">
        <f t="shared" si="30"/>
        <v>#REF!</v>
      </c>
    </row>
    <row r="147" spans="1:80" ht="14.25" hidden="1" customHeight="1">
      <c r="A147" s="93">
        <v>140</v>
      </c>
      <c r="B147" s="82"/>
      <c r="C147" s="82"/>
      <c r="D147" s="100"/>
      <c r="E147" s="82"/>
      <c r="F147" s="82"/>
      <c r="G147" s="82"/>
      <c r="H147" s="82"/>
      <c r="I147" s="96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97">
        <f t="shared" si="21"/>
        <v>0</v>
      </c>
      <c r="W147" s="184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32"/>
      <c r="AW147" s="126">
        <f t="shared" si="31"/>
        <v>0</v>
      </c>
      <c r="AX147" s="39"/>
      <c r="AY147" s="39"/>
      <c r="AZ147" s="97">
        <f t="shared" si="40"/>
        <v>0</v>
      </c>
      <c r="BA147" s="98"/>
      <c r="BB147" s="97">
        <f t="shared" si="41"/>
        <v>0</v>
      </c>
      <c r="BC147" s="90"/>
      <c r="BD147" s="89">
        <f t="shared" si="43"/>
        <v>0</v>
      </c>
      <c r="BE147" s="98"/>
      <c r="BF147" s="89">
        <f t="shared" si="42"/>
        <v>0</v>
      </c>
      <c r="BG147" s="99"/>
      <c r="BH147" s="66"/>
      <c r="BI147" s="89">
        <f t="shared" si="0"/>
        <v>38.75</v>
      </c>
      <c r="BJ147" s="89">
        <f t="shared" si="7"/>
        <v>0</v>
      </c>
      <c r="BK147" s="89">
        <f t="shared" si="32"/>
        <v>0</v>
      </c>
      <c r="BL147" s="89">
        <f t="shared" si="26"/>
        <v>0</v>
      </c>
      <c r="BM147" s="89">
        <f t="shared" si="1"/>
        <v>27.5</v>
      </c>
      <c r="BN147" s="89">
        <f t="shared" si="9"/>
        <v>0</v>
      </c>
      <c r="BO147" s="89">
        <f t="shared" si="10"/>
        <v>0</v>
      </c>
      <c r="BP147" s="89">
        <f t="shared" si="27"/>
        <v>0</v>
      </c>
      <c r="BQ147" s="89">
        <f t="shared" si="2"/>
        <v>20</v>
      </c>
      <c r="BR147" s="89">
        <f t="shared" si="11"/>
        <v>0</v>
      </c>
      <c r="BS147" s="89">
        <f t="shared" si="12"/>
        <v>0</v>
      </c>
      <c r="BT147" s="89">
        <f t="shared" si="28"/>
        <v>0</v>
      </c>
      <c r="BU147" s="89">
        <f t="shared" si="3"/>
        <v>13.75</v>
      </c>
      <c r="BV147" s="89">
        <f t="shared" si="13"/>
        <v>0</v>
      </c>
      <c r="BW147" s="89">
        <f t="shared" si="14"/>
        <v>0</v>
      </c>
      <c r="BX147" s="89">
        <f t="shared" si="29"/>
        <v>0</v>
      </c>
      <c r="BY147" s="89" t="e">
        <f t="shared" si="4"/>
        <v>#REF!</v>
      </c>
      <c r="BZ147" s="89" t="e">
        <f t="shared" si="15"/>
        <v>#REF!</v>
      </c>
      <c r="CA147" s="89" t="e">
        <f t="shared" si="16"/>
        <v>#REF!</v>
      </c>
      <c r="CB147" s="89" t="e">
        <f t="shared" si="30"/>
        <v>#REF!</v>
      </c>
    </row>
    <row r="148" spans="1:80" ht="14.25" hidden="1" customHeight="1">
      <c r="A148" s="93">
        <v>141</v>
      </c>
      <c r="B148" s="82"/>
      <c r="C148" s="82"/>
      <c r="D148" s="100"/>
      <c r="E148" s="82"/>
      <c r="F148" s="82"/>
      <c r="G148" s="82"/>
      <c r="H148" s="82"/>
      <c r="I148" s="96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97">
        <f t="shared" si="21"/>
        <v>0</v>
      </c>
      <c r="W148" s="184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32"/>
      <c r="AW148" s="126">
        <f t="shared" si="31"/>
        <v>0</v>
      </c>
      <c r="AX148" s="39"/>
      <c r="AY148" s="39"/>
      <c r="AZ148" s="97">
        <f t="shared" si="40"/>
        <v>0</v>
      </c>
      <c r="BA148" s="98"/>
      <c r="BB148" s="97">
        <f t="shared" si="41"/>
        <v>0</v>
      </c>
      <c r="BC148" s="90"/>
      <c r="BD148" s="89">
        <f t="shared" si="43"/>
        <v>0</v>
      </c>
      <c r="BE148" s="98"/>
      <c r="BF148" s="89">
        <f t="shared" si="42"/>
        <v>0</v>
      </c>
      <c r="BG148" s="99"/>
      <c r="BH148" s="66"/>
      <c r="BI148" s="89">
        <f t="shared" si="0"/>
        <v>38.75</v>
      </c>
      <c r="BJ148" s="89">
        <f t="shared" si="7"/>
        <v>0</v>
      </c>
      <c r="BK148" s="89">
        <f t="shared" si="32"/>
        <v>0</v>
      </c>
      <c r="BL148" s="89">
        <f t="shared" si="26"/>
        <v>0</v>
      </c>
      <c r="BM148" s="89">
        <f t="shared" si="1"/>
        <v>27.5</v>
      </c>
      <c r="BN148" s="89">
        <f t="shared" si="9"/>
        <v>0</v>
      </c>
      <c r="BO148" s="89">
        <f t="shared" si="10"/>
        <v>0</v>
      </c>
      <c r="BP148" s="89">
        <f t="shared" si="27"/>
        <v>0</v>
      </c>
      <c r="BQ148" s="89">
        <f t="shared" si="2"/>
        <v>20</v>
      </c>
      <c r="BR148" s="89">
        <f t="shared" si="11"/>
        <v>0</v>
      </c>
      <c r="BS148" s="89">
        <f t="shared" si="12"/>
        <v>0</v>
      </c>
      <c r="BT148" s="89">
        <f t="shared" si="28"/>
        <v>0</v>
      </c>
      <c r="BU148" s="89">
        <f t="shared" si="3"/>
        <v>13.75</v>
      </c>
      <c r="BV148" s="89">
        <f t="shared" si="13"/>
        <v>0</v>
      </c>
      <c r="BW148" s="89">
        <f t="shared" si="14"/>
        <v>0</v>
      </c>
      <c r="BX148" s="89">
        <f t="shared" si="29"/>
        <v>0</v>
      </c>
      <c r="BY148" s="89" t="e">
        <f t="shared" si="4"/>
        <v>#REF!</v>
      </c>
      <c r="BZ148" s="89" t="e">
        <f t="shared" si="15"/>
        <v>#REF!</v>
      </c>
      <c r="CA148" s="89" t="e">
        <f t="shared" si="16"/>
        <v>#REF!</v>
      </c>
      <c r="CB148" s="89" t="e">
        <f t="shared" si="30"/>
        <v>#REF!</v>
      </c>
    </row>
    <row r="149" spans="1:80" ht="14.25" hidden="1" customHeight="1">
      <c r="A149" s="93">
        <v>142</v>
      </c>
      <c r="B149" s="82"/>
      <c r="C149" s="82"/>
      <c r="D149" s="100"/>
      <c r="E149" s="82"/>
      <c r="F149" s="82"/>
      <c r="G149" s="82"/>
      <c r="H149" s="82"/>
      <c r="I149" s="96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97">
        <f t="shared" si="21"/>
        <v>0</v>
      </c>
      <c r="W149" s="184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32"/>
      <c r="AW149" s="126">
        <f t="shared" si="31"/>
        <v>0</v>
      </c>
      <c r="AX149" s="39"/>
      <c r="AY149" s="39"/>
      <c r="AZ149" s="97">
        <f t="shared" si="40"/>
        <v>0</v>
      </c>
      <c r="BA149" s="98"/>
      <c r="BB149" s="97">
        <f t="shared" si="41"/>
        <v>0</v>
      </c>
      <c r="BC149" s="90"/>
      <c r="BD149" s="89">
        <f t="shared" si="43"/>
        <v>0</v>
      </c>
      <c r="BE149" s="98"/>
      <c r="BF149" s="89">
        <f t="shared" si="42"/>
        <v>0</v>
      </c>
      <c r="BG149" s="99"/>
      <c r="BH149" s="66"/>
      <c r="BI149" s="89">
        <f t="shared" si="0"/>
        <v>38.75</v>
      </c>
      <c r="BJ149" s="89">
        <f t="shared" si="7"/>
        <v>0</v>
      </c>
      <c r="BK149" s="89">
        <f t="shared" si="32"/>
        <v>0</v>
      </c>
      <c r="BL149" s="89">
        <f t="shared" si="26"/>
        <v>0</v>
      </c>
      <c r="BM149" s="89">
        <f t="shared" si="1"/>
        <v>27.5</v>
      </c>
      <c r="BN149" s="89">
        <f t="shared" si="9"/>
        <v>0</v>
      </c>
      <c r="BO149" s="89">
        <f t="shared" si="10"/>
        <v>0</v>
      </c>
      <c r="BP149" s="89">
        <f t="shared" si="27"/>
        <v>0</v>
      </c>
      <c r="BQ149" s="89">
        <f t="shared" si="2"/>
        <v>20</v>
      </c>
      <c r="BR149" s="89">
        <f t="shared" si="11"/>
        <v>0</v>
      </c>
      <c r="BS149" s="89">
        <f t="shared" si="12"/>
        <v>0</v>
      </c>
      <c r="BT149" s="89">
        <f t="shared" si="28"/>
        <v>0</v>
      </c>
      <c r="BU149" s="89">
        <f t="shared" si="3"/>
        <v>13.75</v>
      </c>
      <c r="BV149" s="89">
        <f t="shared" si="13"/>
        <v>0</v>
      </c>
      <c r="BW149" s="89">
        <f t="shared" si="14"/>
        <v>0</v>
      </c>
      <c r="BX149" s="89">
        <f t="shared" si="29"/>
        <v>0</v>
      </c>
      <c r="BY149" s="89" t="e">
        <f t="shared" si="4"/>
        <v>#REF!</v>
      </c>
      <c r="BZ149" s="89" t="e">
        <f t="shared" si="15"/>
        <v>#REF!</v>
      </c>
      <c r="CA149" s="89" t="e">
        <f t="shared" si="16"/>
        <v>#REF!</v>
      </c>
      <c r="CB149" s="89" t="e">
        <f t="shared" si="30"/>
        <v>#REF!</v>
      </c>
    </row>
    <row r="150" spans="1:80" ht="14.25" hidden="1" customHeight="1">
      <c r="A150" s="93">
        <v>143</v>
      </c>
      <c r="B150" s="82"/>
      <c r="C150" s="82"/>
      <c r="D150" s="100"/>
      <c r="E150" s="82"/>
      <c r="F150" s="82"/>
      <c r="G150" s="82"/>
      <c r="H150" s="82"/>
      <c r="I150" s="96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97">
        <f t="shared" si="21"/>
        <v>0</v>
      </c>
      <c r="W150" s="184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32"/>
      <c r="AW150" s="126">
        <f t="shared" si="31"/>
        <v>0</v>
      </c>
      <c r="AX150" s="39"/>
      <c r="AY150" s="39"/>
      <c r="AZ150" s="97">
        <f t="shared" si="40"/>
        <v>0</v>
      </c>
      <c r="BA150" s="98"/>
      <c r="BB150" s="97">
        <f t="shared" si="41"/>
        <v>0</v>
      </c>
      <c r="BC150" s="90"/>
      <c r="BD150" s="89">
        <f t="shared" si="43"/>
        <v>0</v>
      </c>
      <c r="BE150" s="98"/>
      <c r="BF150" s="89">
        <f t="shared" si="42"/>
        <v>0</v>
      </c>
      <c r="BG150" s="99"/>
      <c r="BH150" s="66"/>
      <c r="BI150" s="89">
        <f t="shared" si="0"/>
        <v>38.75</v>
      </c>
      <c r="BJ150" s="89">
        <f t="shared" si="7"/>
        <v>0</v>
      </c>
      <c r="BK150" s="89">
        <f t="shared" si="32"/>
        <v>0</v>
      </c>
      <c r="BL150" s="89">
        <f t="shared" si="26"/>
        <v>0</v>
      </c>
      <c r="BM150" s="89">
        <f t="shared" si="1"/>
        <v>27.5</v>
      </c>
      <c r="BN150" s="89">
        <f t="shared" si="9"/>
        <v>0</v>
      </c>
      <c r="BO150" s="89">
        <f t="shared" si="10"/>
        <v>0</v>
      </c>
      <c r="BP150" s="89">
        <f t="shared" si="27"/>
        <v>0</v>
      </c>
      <c r="BQ150" s="89">
        <f t="shared" si="2"/>
        <v>20</v>
      </c>
      <c r="BR150" s="89">
        <f t="shared" si="11"/>
        <v>0</v>
      </c>
      <c r="BS150" s="89">
        <f t="shared" si="12"/>
        <v>0</v>
      </c>
      <c r="BT150" s="89">
        <f t="shared" si="28"/>
        <v>0</v>
      </c>
      <c r="BU150" s="89">
        <f t="shared" si="3"/>
        <v>13.75</v>
      </c>
      <c r="BV150" s="89">
        <f t="shared" si="13"/>
        <v>0</v>
      </c>
      <c r="BW150" s="89">
        <f t="shared" si="14"/>
        <v>0</v>
      </c>
      <c r="BX150" s="89">
        <f t="shared" si="29"/>
        <v>0</v>
      </c>
      <c r="BY150" s="89" t="e">
        <f t="shared" si="4"/>
        <v>#REF!</v>
      </c>
      <c r="BZ150" s="89" t="e">
        <f t="shared" si="15"/>
        <v>#REF!</v>
      </c>
      <c r="CA150" s="89" t="e">
        <f t="shared" si="16"/>
        <v>#REF!</v>
      </c>
      <c r="CB150" s="89" t="e">
        <f t="shared" si="30"/>
        <v>#REF!</v>
      </c>
    </row>
    <row r="151" spans="1:80" ht="14.25" hidden="1" customHeight="1">
      <c r="A151" s="93">
        <v>144</v>
      </c>
      <c r="B151" s="82"/>
      <c r="C151" s="82"/>
      <c r="D151" s="100"/>
      <c r="E151" s="82"/>
      <c r="F151" s="82"/>
      <c r="G151" s="82"/>
      <c r="H151" s="82"/>
      <c r="I151" s="96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97">
        <f t="shared" si="21"/>
        <v>0</v>
      </c>
      <c r="W151" s="184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32"/>
      <c r="AW151" s="126">
        <f t="shared" si="31"/>
        <v>0</v>
      </c>
      <c r="AX151" s="39"/>
      <c r="AY151" s="39"/>
      <c r="AZ151" s="97">
        <f t="shared" si="40"/>
        <v>0</v>
      </c>
      <c r="BA151" s="98"/>
      <c r="BB151" s="97">
        <f t="shared" si="41"/>
        <v>0</v>
      </c>
      <c r="BC151" s="90"/>
      <c r="BD151" s="89">
        <f t="shared" si="43"/>
        <v>0</v>
      </c>
      <c r="BE151" s="98"/>
      <c r="BF151" s="89">
        <f t="shared" si="42"/>
        <v>0</v>
      </c>
      <c r="BG151" s="99"/>
      <c r="BH151" s="66"/>
      <c r="BI151" s="89">
        <f t="shared" si="0"/>
        <v>38.75</v>
      </c>
      <c r="BJ151" s="89">
        <f t="shared" si="7"/>
        <v>0</v>
      </c>
      <c r="BK151" s="89">
        <f t="shared" si="32"/>
        <v>0</v>
      </c>
      <c r="BL151" s="89">
        <f t="shared" si="26"/>
        <v>0</v>
      </c>
      <c r="BM151" s="89">
        <f t="shared" si="1"/>
        <v>27.5</v>
      </c>
      <c r="BN151" s="89">
        <f t="shared" si="9"/>
        <v>0</v>
      </c>
      <c r="BO151" s="89">
        <f t="shared" si="10"/>
        <v>0</v>
      </c>
      <c r="BP151" s="89">
        <f t="shared" si="27"/>
        <v>0</v>
      </c>
      <c r="BQ151" s="89">
        <f t="shared" si="2"/>
        <v>20</v>
      </c>
      <c r="BR151" s="89">
        <f t="shared" si="11"/>
        <v>0</v>
      </c>
      <c r="BS151" s="89">
        <f t="shared" si="12"/>
        <v>0</v>
      </c>
      <c r="BT151" s="89">
        <f t="shared" si="28"/>
        <v>0</v>
      </c>
      <c r="BU151" s="89">
        <f t="shared" si="3"/>
        <v>13.75</v>
      </c>
      <c r="BV151" s="89">
        <f t="shared" si="13"/>
        <v>0</v>
      </c>
      <c r="BW151" s="89">
        <f t="shared" si="14"/>
        <v>0</v>
      </c>
      <c r="BX151" s="89">
        <f t="shared" si="29"/>
        <v>0</v>
      </c>
      <c r="BY151" s="89" t="e">
        <f t="shared" si="4"/>
        <v>#REF!</v>
      </c>
      <c r="BZ151" s="89" t="e">
        <f t="shared" si="15"/>
        <v>#REF!</v>
      </c>
      <c r="CA151" s="89" t="e">
        <f t="shared" si="16"/>
        <v>#REF!</v>
      </c>
      <c r="CB151" s="89" t="e">
        <f t="shared" si="30"/>
        <v>#REF!</v>
      </c>
    </row>
    <row r="152" spans="1:80" ht="14.25" hidden="1" customHeight="1">
      <c r="A152" s="93">
        <v>145</v>
      </c>
      <c r="B152" s="82"/>
      <c r="C152" s="82"/>
      <c r="D152" s="100"/>
      <c r="E152" s="82"/>
      <c r="F152" s="82"/>
      <c r="G152" s="82"/>
      <c r="H152" s="82"/>
      <c r="I152" s="96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97">
        <f t="shared" si="21"/>
        <v>0</v>
      </c>
      <c r="W152" s="184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32"/>
      <c r="AW152" s="126">
        <f t="shared" si="31"/>
        <v>0</v>
      </c>
      <c r="AX152" s="39"/>
      <c r="AY152" s="39"/>
      <c r="AZ152" s="97">
        <f t="shared" si="40"/>
        <v>0</v>
      </c>
      <c r="BA152" s="98"/>
      <c r="BB152" s="97">
        <f t="shared" si="41"/>
        <v>0</v>
      </c>
      <c r="BC152" s="90"/>
      <c r="BD152" s="89">
        <f t="shared" si="43"/>
        <v>0</v>
      </c>
      <c r="BE152" s="98"/>
      <c r="BF152" s="89">
        <f t="shared" si="42"/>
        <v>0</v>
      </c>
      <c r="BG152" s="99"/>
      <c r="BH152" s="66"/>
      <c r="BI152" s="89">
        <f t="shared" si="0"/>
        <v>38.75</v>
      </c>
      <c r="BJ152" s="89">
        <f t="shared" si="7"/>
        <v>0</v>
      </c>
      <c r="BK152" s="89">
        <f t="shared" si="32"/>
        <v>0</v>
      </c>
      <c r="BL152" s="89">
        <f t="shared" si="26"/>
        <v>0</v>
      </c>
      <c r="BM152" s="89">
        <f t="shared" si="1"/>
        <v>27.5</v>
      </c>
      <c r="BN152" s="89">
        <f t="shared" si="9"/>
        <v>0</v>
      </c>
      <c r="BO152" s="89">
        <f t="shared" si="10"/>
        <v>0</v>
      </c>
      <c r="BP152" s="89">
        <f t="shared" si="27"/>
        <v>0</v>
      </c>
      <c r="BQ152" s="89">
        <f t="shared" si="2"/>
        <v>20</v>
      </c>
      <c r="BR152" s="89">
        <f t="shared" si="11"/>
        <v>0</v>
      </c>
      <c r="BS152" s="89">
        <f t="shared" si="12"/>
        <v>0</v>
      </c>
      <c r="BT152" s="89">
        <f t="shared" si="28"/>
        <v>0</v>
      </c>
      <c r="BU152" s="89">
        <f t="shared" si="3"/>
        <v>13.75</v>
      </c>
      <c r="BV152" s="89">
        <f t="shared" si="13"/>
        <v>0</v>
      </c>
      <c r="BW152" s="89">
        <f t="shared" si="14"/>
        <v>0</v>
      </c>
      <c r="BX152" s="89">
        <f t="shared" si="29"/>
        <v>0</v>
      </c>
      <c r="BY152" s="89" t="e">
        <f t="shared" si="4"/>
        <v>#REF!</v>
      </c>
      <c r="BZ152" s="89" t="e">
        <f t="shared" si="15"/>
        <v>#REF!</v>
      </c>
      <c r="CA152" s="89" t="e">
        <f t="shared" si="16"/>
        <v>#REF!</v>
      </c>
      <c r="CB152" s="89" t="e">
        <f t="shared" si="30"/>
        <v>#REF!</v>
      </c>
    </row>
    <row r="153" spans="1:80" ht="14.25" hidden="1" customHeight="1">
      <c r="A153" s="93">
        <v>146</v>
      </c>
      <c r="B153" s="82"/>
      <c r="C153" s="82"/>
      <c r="D153" s="100"/>
      <c r="E153" s="82"/>
      <c r="F153" s="82"/>
      <c r="G153" s="82"/>
      <c r="H153" s="82"/>
      <c r="I153" s="96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97">
        <f t="shared" si="21"/>
        <v>0</v>
      </c>
      <c r="W153" s="184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32"/>
      <c r="AW153" s="126">
        <f t="shared" si="31"/>
        <v>0</v>
      </c>
      <c r="AX153" s="39"/>
      <c r="AY153" s="39"/>
      <c r="AZ153" s="97">
        <f t="shared" si="40"/>
        <v>0</v>
      </c>
      <c r="BA153" s="98"/>
      <c r="BB153" s="97">
        <f t="shared" si="41"/>
        <v>0</v>
      </c>
      <c r="BC153" s="90"/>
      <c r="BD153" s="89">
        <f t="shared" si="43"/>
        <v>0</v>
      </c>
      <c r="BE153" s="98"/>
      <c r="BF153" s="89">
        <f t="shared" si="42"/>
        <v>0</v>
      </c>
      <c r="BG153" s="99"/>
      <c r="BH153" s="66"/>
      <c r="BI153" s="89">
        <f t="shared" si="0"/>
        <v>38.75</v>
      </c>
      <c r="BJ153" s="89">
        <f t="shared" si="7"/>
        <v>0</v>
      </c>
      <c r="BK153" s="89">
        <f t="shared" si="32"/>
        <v>0</v>
      </c>
      <c r="BL153" s="89">
        <f t="shared" si="26"/>
        <v>0</v>
      </c>
      <c r="BM153" s="89">
        <f t="shared" si="1"/>
        <v>27.5</v>
      </c>
      <c r="BN153" s="89">
        <f t="shared" si="9"/>
        <v>0</v>
      </c>
      <c r="BO153" s="89">
        <f t="shared" si="10"/>
        <v>0</v>
      </c>
      <c r="BP153" s="89">
        <f t="shared" si="27"/>
        <v>0</v>
      </c>
      <c r="BQ153" s="89">
        <f t="shared" si="2"/>
        <v>20</v>
      </c>
      <c r="BR153" s="89">
        <f t="shared" si="11"/>
        <v>0</v>
      </c>
      <c r="BS153" s="89">
        <f t="shared" si="12"/>
        <v>0</v>
      </c>
      <c r="BT153" s="89">
        <f t="shared" si="28"/>
        <v>0</v>
      </c>
      <c r="BU153" s="89">
        <f t="shared" si="3"/>
        <v>13.75</v>
      </c>
      <c r="BV153" s="89">
        <f t="shared" si="13"/>
        <v>0</v>
      </c>
      <c r="BW153" s="89">
        <f t="shared" si="14"/>
        <v>0</v>
      </c>
      <c r="BX153" s="89">
        <f t="shared" si="29"/>
        <v>0</v>
      </c>
      <c r="BY153" s="89" t="e">
        <f t="shared" si="4"/>
        <v>#REF!</v>
      </c>
      <c r="BZ153" s="89" t="e">
        <f t="shared" si="15"/>
        <v>#REF!</v>
      </c>
      <c r="CA153" s="89" t="e">
        <f t="shared" si="16"/>
        <v>#REF!</v>
      </c>
      <c r="CB153" s="89" t="e">
        <f t="shared" si="30"/>
        <v>#REF!</v>
      </c>
    </row>
    <row r="154" spans="1:80" ht="14.25" hidden="1" customHeight="1">
      <c r="A154" s="93">
        <v>147</v>
      </c>
      <c r="B154" s="82"/>
      <c r="C154" s="82"/>
      <c r="D154" s="100"/>
      <c r="E154" s="82"/>
      <c r="F154" s="82"/>
      <c r="G154" s="82"/>
      <c r="H154" s="82"/>
      <c r="I154" s="96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97">
        <f t="shared" si="21"/>
        <v>0</v>
      </c>
      <c r="W154" s="184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32"/>
      <c r="AW154" s="126">
        <f t="shared" si="31"/>
        <v>0</v>
      </c>
      <c r="AX154" s="39"/>
      <c r="AY154" s="39"/>
      <c r="AZ154" s="97">
        <f t="shared" si="40"/>
        <v>0</v>
      </c>
      <c r="BA154" s="98"/>
      <c r="BB154" s="97">
        <f t="shared" si="41"/>
        <v>0</v>
      </c>
      <c r="BC154" s="90"/>
      <c r="BD154" s="89">
        <f t="shared" si="43"/>
        <v>0</v>
      </c>
      <c r="BE154" s="98"/>
      <c r="BF154" s="89">
        <f t="shared" si="42"/>
        <v>0</v>
      </c>
      <c r="BG154" s="99"/>
      <c r="BH154" s="66"/>
      <c r="BI154" s="89">
        <f t="shared" si="0"/>
        <v>38.75</v>
      </c>
      <c r="BJ154" s="89">
        <f t="shared" si="7"/>
        <v>0</v>
      </c>
      <c r="BK154" s="89">
        <f t="shared" si="32"/>
        <v>0</v>
      </c>
      <c r="BL154" s="89">
        <f t="shared" si="26"/>
        <v>0</v>
      </c>
      <c r="BM154" s="89">
        <f t="shared" si="1"/>
        <v>27.5</v>
      </c>
      <c r="BN154" s="89">
        <f t="shared" si="9"/>
        <v>0</v>
      </c>
      <c r="BO154" s="89">
        <f t="shared" si="10"/>
        <v>0</v>
      </c>
      <c r="BP154" s="89">
        <f t="shared" si="27"/>
        <v>0</v>
      </c>
      <c r="BQ154" s="89">
        <f t="shared" si="2"/>
        <v>20</v>
      </c>
      <c r="BR154" s="89">
        <f t="shared" si="11"/>
        <v>0</v>
      </c>
      <c r="BS154" s="89">
        <f t="shared" si="12"/>
        <v>0</v>
      </c>
      <c r="BT154" s="89">
        <f t="shared" si="28"/>
        <v>0</v>
      </c>
      <c r="BU154" s="89">
        <f t="shared" si="3"/>
        <v>13.75</v>
      </c>
      <c r="BV154" s="89">
        <f t="shared" si="13"/>
        <v>0</v>
      </c>
      <c r="BW154" s="89">
        <f t="shared" si="14"/>
        <v>0</v>
      </c>
      <c r="BX154" s="89">
        <f t="shared" si="29"/>
        <v>0</v>
      </c>
      <c r="BY154" s="89" t="e">
        <f t="shared" si="4"/>
        <v>#REF!</v>
      </c>
      <c r="BZ154" s="89" t="e">
        <f t="shared" si="15"/>
        <v>#REF!</v>
      </c>
      <c r="CA154" s="89" t="e">
        <f t="shared" si="16"/>
        <v>#REF!</v>
      </c>
      <c r="CB154" s="89" t="e">
        <f t="shared" si="30"/>
        <v>#REF!</v>
      </c>
    </row>
    <row r="155" spans="1:80" ht="14.25" hidden="1" customHeight="1">
      <c r="A155" s="93">
        <v>148</v>
      </c>
      <c r="B155" s="82"/>
      <c r="C155" s="82"/>
      <c r="D155" s="100"/>
      <c r="E155" s="82"/>
      <c r="F155" s="82"/>
      <c r="G155" s="82"/>
      <c r="H155" s="82"/>
      <c r="I155" s="96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97">
        <f t="shared" si="21"/>
        <v>0</v>
      </c>
      <c r="W155" s="184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32"/>
      <c r="AW155" s="126">
        <f t="shared" si="31"/>
        <v>0</v>
      </c>
      <c r="AX155" s="39"/>
      <c r="AY155" s="39"/>
      <c r="AZ155" s="97">
        <f t="shared" si="40"/>
        <v>0</v>
      </c>
      <c r="BA155" s="98"/>
      <c r="BB155" s="97">
        <f t="shared" si="41"/>
        <v>0</v>
      </c>
      <c r="BC155" s="90"/>
      <c r="BD155" s="89">
        <f t="shared" si="43"/>
        <v>0</v>
      </c>
      <c r="BE155" s="98"/>
      <c r="BF155" s="89">
        <f t="shared" si="42"/>
        <v>0</v>
      </c>
      <c r="BG155" s="99"/>
      <c r="BH155" s="66"/>
      <c r="BI155" s="89">
        <f t="shared" si="0"/>
        <v>38.75</v>
      </c>
      <c r="BJ155" s="89">
        <f t="shared" si="7"/>
        <v>0</v>
      </c>
      <c r="BK155" s="89">
        <f t="shared" si="32"/>
        <v>0</v>
      </c>
      <c r="BL155" s="89">
        <f t="shared" si="26"/>
        <v>0</v>
      </c>
      <c r="BM155" s="89">
        <f t="shared" si="1"/>
        <v>27.5</v>
      </c>
      <c r="BN155" s="89">
        <f t="shared" si="9"/>
        <v>0</v>
      </c>
      <c r="BO155" s="89">
        <f t="shared" si="10"/>
        <v>0</v>
      </c>
      <c r="BP155" s="89">
        <f t="shared" si="27"/>
        <v>0</v>
      </c>
      <c r="BQ155" s="89">
        <f t="shared" si="2"/>
        <v>20</v>
      </c>
      <c r="BR155" s="89">
        <f t="shared" si="11"/>
        <v>0</v>
      </c>
      <c r="BS155" s="89">
        <f t="shared" si="12"/>
        <v>0</v>
      </c>
      <c r="BT155" s="89">
        <f t="shared" si="28"/>
        <v>0</v>
      </c>
      <c r="BU155" s="89">
        <f t="shared" si="3"/>
        <v>13.75</v>
      </c>
      <c r="BV155" s="89">
        <f t="shared" si="13"/>
        <v>0</v>
      </c>
      <c r="BW155" s="89">
        <f t="shared" si="14"/>
        <v>0</v>
      </c>
      <c r="BX155" s="89">
        <f t="shared" si="29"/>
        <v>0</v>
      </c>
      <c r="BY155" s="89" t="e">
        <f t="shared" si="4"/>
        <v>#REF!</v>
      </c>
      <c r="BZ155" s="89" t="e">
        <f t="shared" si="15"/>
        <v>#REF!</v>
      </c>
      <c r="CA155" s="89" t="e">
        <f t="shared" si="16"/>
        <v>#REF!</v>
      </c>
      <c r="CB155" s="89" t="e">
        <f t="shared" si="30"/>
        <v>#REF!</v>
      </c>
    </row>
    <row r="156" spans="1:80" ht="14.25" hidden="1" customHeight="1">
      <c r="A156" s="93">
        <v>149</v>
      </c>
      <c r="B156" s="82"/>
      <c r="C156" s="82"/>
      <c r="D156" s="100"/>
      <c r="E156" s="82"/>
      <c r="F156" s="82"/>
      <c r="G156" s="82"/>
      <c r="H156" s="82"/>
      <c r="I156" s="96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97">
        <f t="shared" si="21"/>
        <v>0</v>
      </c>
      <c r="W156" s="184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32"/>
      <c r="AW156" s="126">
        <f t="shared" si="31"/>
        <v>0</v>
      </c>
      <c r="AX156" s="39"/>
      <c r="AY156" s="39"/>
      <c r="AZ156" s="97">
        <f t="shared" si="40"/>
        <v>0</v>
      </c>
      <c r="BA156" s="98"/>
      <c r="BB156" s="97">
        <f t="shared" si="41"/>
        <v>0</v>
      </c>
      <c r="BC156" s="90"/>
      <c r="BD156" s="89">
        <f t="shared" si="43"/>
        <v>0</v>
      </c>
      <c r="BE156" s="98"/>
      <c r="BF156" s="89">
        <f t="shared" si="42"/>
        <v>0</v>
      </c>
      <c r="BG156" s="99"/>
      <c r="BH156" s="66"/>
      <c r="BI156" s="89">
        <f t="shared" si="0"/>
        <v>38.75</v>
      </c>
      <c r="BJ156" s="89">
        <f t="shared" si="7"/>
        <v>0</v>
      </c>
      <c r="BK156" s="89">
        <f t="shared" si="32"/>
        <v>0</v>
      </c>
      <c r="BL156" s="89">
        <f t="shared" si="26"/>
        <v>0</v>
      </c>
      <c r="BM156" s="89">
        <f t="shared" si="1"/>
        <v>27.5</v>
      </c>
      <c r="BN156" s="89">
        <f t="shared" si="9"/>
        <v>0</v>
      </c>
      <c r="BO156" s="89">
        <f t="shared" si="10"/>
        <v>0</v>
      </c>
      <c r="BP156" s="89">
        <f t="shared" si="27"/>
        <v>0</v>
      </c>
      <c r="BQ156" s="89">
        <f t="shared" si="2"/>
        <v>20</v>
      </c>
      <c r="BR156" s="89">
        <f t="shared" si="11"/>
        <v>0</v>
      </c>
      <c r="BS156" s="89">
        <f t="shared" si="12"/>
        <v>0</v>
      </c>
      <c r="BT156" s="89">
        <f t="shared" si="28"/>
        <v>0</v>
      </c>
      <c r="BU156" s="89">
        <f t="shared" si="3"/>
        <v>13.75</v>
      </c>
      <c r="BV156" s="89">
        <f t="shared" si="13"/>
        <v>0</v>
      </c>
      <c r="BW156" s="89">
        <f t="shared" si="14"/>
        <v>0</v>
      </c>
      <c r="BX156" s="89">
        <f t="shared" si="29"/>
        <v>0</v>
      </c>
      <c r="BY156" s="89" t="e">
        <f t="shared" si="4"/>
        <v>#REF!</v>
      </c>
      <c r="BZ156" s="89" t="e">
        <f t="shared" si="15"/>
        <v>#REF!</v>
      </c>
      <c r="CA156" s="89" t="e">
        <f t="shared" si="16"/>
        <v>#REF!</v>
      </c>
      <c r="CB156" s="89" t="e">
        <f t="shared" si="30"/>
        <v>#REF!</v>
      </c>
    </row>
    <row r="157" spans="1:80" ht="14.25" hidden="1" customHeight="1">
      <c r="A157" s="93">
        <v>150</v>
      </c>
      <c r="B157" s="82"/>
      <c r="C157" s="82"/>
      <c r="D157" s="100"/>
      <c r="E157" s="82"/>
      <c r="F157" s="82"/>
      <c r="G157" s="82"/>
      <c r="H157" s="82"/>
      <c r="I157" s="96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97">
        <f t="shared" si="21"/>
        <v>0</v>
      </c>
      <c r="W157" s="184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32"/>
      <c r="AW157" s="126">
        <f t="shared" si="31"/>
        <v>0</v>
      </c>
      <c r="AX157" s="39"/>
      <c r="AY157" s="39"/>
      <c r="AZ157" s="97">
        <f t="shared" si="40"/>
        <v>0</v>
      </c>
      <c r="BA157" s="98"/>
      <c r="BB157" s="97">
        <f t="shared" si="41"/>
        <v>0</v>
      </c>
      <c r="BC157" s="90"/>
      <c r="BD157" s="89">
        <f t="shared" si="43"/>
        <v>0</v>
      </c>
      <c r="BE157" s="98"/>
      <c r="BF157" s="89">
        <f t="shared" si="42"/>
        <v>0</v>
      </c>
      <c r="BG157" s="99"/>
      <c r="BH157" s="66"/>
      <c r="BI157" s="89">
        <f t="shared" si="0"/>
        <v>38.75</v>
      </c>
      <c r="BJ157" s="89">
        <f t="shared" si="7"/>
        <v>0</v>
      </c>
      <c r="BK157" s="89">
        <f t="shared" si="32"/>
        <v>0</v>
      </c>
      <c r="BL157" s="89">
        <f t="shared" si="26"/>
        <v>0</v>
      </c>
      <c r="BM157" s="89">
        <f t="shared" si="1"/>
        <v>27.5</v>
      </c>
      <c r="BN157" s="89">
        <f t="shared" si="9"/>
        <v>0</v>
      </c>
      <c r="BO157" s="89">
        <f t="shared" si="10"/>
        <v>0</v>
      </c>
      <c r="BP157" s="89">
        <f t="shared" si="27"/>
        <v>0</v>
      </c>
      <c r="BQ157" s="89">
        <f t="shared" si="2"/>
        <v>20</v>
      </c>
      <c r="BR157" s="89">
        <f t="shared" si="11"/>
        <v>0</v>
      </c>
      <c r="BS157" s="89">
        <f t="shared" si="12"/>
        <v>0</v>
      </c>
      <c r="BT157" s="89">
        <f t="shared" si="28"/>
        <v>0</v>
      </c>
      <c r="BU157" s="89">
        <f t="shared" si="3"/>
        <v>13.75</v>
      </c>
      <c r="BV157" s="89">
        <f t="shared" si="13"/>
        <v>0</v>
      </c>
      <c r="BW157" s="89">
        <f t="shared" si="14"/>
        <v>0</v>
      </c>
      <c r="BX157" s="89">
        <f t="shared" si="29"/>
        <v>0</v>
      </c>
      <c r="BY157" s="89" t="e">
        <f t="shared" si="4"/>
        <v>#REF!</v>
      </c>
      <c r="BZ157" s="89" t="e">
        <f t="shared" si="15"/>
        <v>#REF!</v>
      </c>
      <c r="CA157" s="89" t="e">
        <f t="shared" si="16"/>
        <v>#REF!</v>
      </c>
      <c r="CB157" s="89" t="e">
        <f t="shared" si="30"/>
        <v>#REF!</v>
      </c>
    </row>
    <row r="158" spans="1:80" ht="14.25" hidden="1" customHeight="1">
      <c r="A158" s="93">
        <v>151</v>
      </c>
      <c r="B158" s="82"/>
      <c r="C158" s="82"/>
      <c r="D158" s="100"/>
      <c r="E158" s="82"/>
      <c r="F158" s="82"/>
      <c r="G158" s="82"/>
      <c r="H158" s="82"/>
      <c r="I158" s="96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97">
        <f t="shared" si="21"/>
        <v>0</v>
      </c>
      <c r="W158" s="184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32"/>
      <c r="AW158" s="126">
        <f t="shared" si="31"/>
        <v>0</v>
      </c>
      <c r="AX158" s="39"/>
      <c r="AY158" s="39"/>
      <c r="AZ158" s="97">
        <f t="shared" si="40"/>
        <v>0</v>
      </c>
      <c r="BA158" s="98"/>
      <c r="BB158" s="97">
        <f t="shared" si="41"/>
        <v>0</v>
      </c>
      <c r="BC158" s="90"/>
      <c r="BD158" s="89">
        <f t="shared" si="43"/>
        <v>0</v>
      </c>
      <c r="BE158" s="98"/>
      <c r="BF158" s="89">
        <f t="shared" si="42"/>
        <v>0</v>
      </c>
      <c r="BG158" s="99"/>
      <c r="BH158" s="66"/>
      <c r="BI158" s="89">
        <f t="shared" si="0"/>
        <v>38.75</v>
      </c>
      <c r="BJ158" s="89">
        <f t="shared" si="7"/>
        <v>0</v>
      </c>
      <c r="BK158" s="89">
        <f t="shared" si="32"/>
        <v>0</v>
      </c>
      <c r="BL158" s="89">
        <f t="shared" si="26"/>
        <v>0</v>
      </c>
      <c r="BM158" s="89">
        <f t="shared" si="1"/>
        <v>27.5</v>
      </c>
      <c r="BN158" s="89">
        <f t="shared" si="9"/>
        <v>0</v>
      </c>
      <c r="BO158" s="89">
        <f t="shared" si="10"/>
        <v>0</v>
      </c>
      <c r="BP158" s="89">
        <f t="shared" si="27"/>
        <v>0</v>
      </c>
      <c r="BQ158" s="89">
        <f t="shared" si="2"/>
        <v>20</v>
      </c>
      <c r="BR158" s="89">
        <f t="shared" si="11"/>
        <v>0</v>
      </c>
      <c r="BS158" s="89">
        <f t="shared" si="12"/>
        <v>0</v>
      </c>
      <c r="BT158" s="89">
        <f t="shared" si="28"/>
        <v>0</v>
      </c>
      <c r="BU158" s="89">
        <f t="shared" si="3"/>
        <v>13.75</v>
      </c>
      <c r="BV158" s="89">
        <f t="shared" si="13"/>
        <v>0</v>
      </c>
      <c r="BW158" s="89">
        <f t="shared" si="14"/>
        <v>0</v>
      </c>
      <c r="BX158" s="89">
        <f t="shared" si="29"/>
        <v>0</v>
      </c>
      <c r="BY158" s="89" t="e">
        <f t="shared" si="4"/>
        <v>#REF!</v>
      </c>
      <c r="BZ158" s="89" t="e">
        <f t="shared" si="15"/>
        <v>#REF!</v>
      </c>
      <c r="CA158" s="89" t="e">
        <f t="shared" si="16"/>
        <v>#REF!</v>
      </c>
      <c r="CB158" s="89" t="e">
        <f t="shared" si="30"/>
        <v>#REF!</v>
      </c>
    </row>
    <row r="159" spans="1:80" ht="14.25" hidden="1" customHeight="1">
      <c r="A159" s="93">
        <v>152</v>
      </c>
      <c r="B159" s="82"/>
      <c r="C159" s="82"/>
      <c r="D159" s="100"/>
      <c r="E159" s="82"/>
      <c r="F159" s="82"/>
      <c r="G159" s="82"/>
      <c r="H159" s="82"/>
      <c r="I159" s="96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97">
        <f t="shared" si="21"/>
        <v>0</v>
      </c>
      <c r="W159" s="184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32"/>
      <c r="AW159" s="126">
        <f t="shared" si="31"/>
        <v>0</v>
      </c>
      <c r="AX159" s="39"/>
      <c r="AY159" s="39"/>
      <c r="AZ159" s="97">
        <f t="shared" si="40"/>
        <v>0</v>
      </c>
      <c r="BA159" s="98"/>
      <c r="BB159" s="97">
        <f t="shared" si="41"/>
        <v>0</v>
      </c>
      <c r="BC159" s="90"/>
      <c r="BD159" s="89">
        <f t="shared" si="43"/>
        <v>0</v>
      </c>
      <c r="BE159" s="98"/>
      <c r="BF159" s="89">
        <f t="shared" si="42"/>
        <v>0</v>
      </c>
      <c r="BG159" s="99"/>
      <c r="BH159" s="66"/>
      <c r="BI159" s="89">
        <f t="shared" si="0"/>
        <v>38.75</v>
      </c>
      <c r="BJ159" s="89">
        <f t="shared" si="7"/>
        <v>0</v>
      </c>
      <c r="BK159" s="89">
        <f t="shared" si="32"/>
        <v>0</v>
      </c>
      <c r="BL159" s="89">
        <f t="shared" si="26"/>
        <v>0</v>
      </c>
      <c r="BM159" s="89">
        <f t="shared" si="1"/>
        <v>27.5</v>
      </c>
      <c r="BN159" s="89">
        <f t="shared" si="9"/>
        <v>0</v>
      </c>
      <c r="BO159" s="89">
        <f t="shared" si="10"/>
        <v>0</v>
      </c>
      <c r="BP159" s="89">
        <f t="shared" si="27"/>
        <v>0</v>
      </c>
      <c r="BQ159" s="89">
        <f t="shared" si="2"/>
        <v>20</v>
      </c>
      <c r="BR159" s="89">
        <f t="shared" si="11"/>
        <v>0</v>
      </c>
      <c r="BS159" s="89">
        <f t="shared" si="12"/>
        <v>0</v>
      </c>
      <c r="BT159" s="89">
        <f t="shared" si="28"/>
        <v>0</v>
      </c>
      <c r="BU159" s="89">
        <f t="shared" si="3"/>
        <v>13.75</v>
      </c>
      <c r="BV159" s="89">
        <f t="shared" si="13"/>
        <v>0</v>
      </c>
      <c r="BW159" s="89">
        <f t="shared" si="14"/>
        <v>0</v>
      </c>
      <c r="BX159" s="89">
        <f t="shared" si="29"/>
        <v>0</v>
      </c>
      <c r="BY159" s="89" t="e">
        <f t="shared" si="4"/>
        <v>#REF!</v>
      </c>
      <c r="BZ159" s="89" t="e">
        <f t="shared" si="15"/>
        <v>#REF!</v>
      </c>
      <c r="CA159" s="89" t="e">
        <f t="shared" si="16"/>
        <v>#REF!</v>
      </c>
      <c r="CB159" s="89" t="e">
        <f t="shared" si="30"/>
        <v>#REF!</v>
      </c>
    </row>
    <row r="160" spans="1:80" ht="14.25" hidden="1" customHeight="1">
      <c r="A160" s="93">
        <v>153</v>
      </c>
      <c r="B160" s="82"/>
      <c r="C160" s="82"/>
      <c r="D160" s="100"/>
      <c r="E160" s="82"/>
      <c r="F160" s="82"/>
      <c r="G160" s="82"/>
      <c r="H160" s="82"/>
      <c r="I160" s="96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97">
        <f t="shared" si="21"/>
        <v>0</v>
      </c>
      <c r="W160" s="184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32"/>
      <c r="AW160" s="126">
        <f t="shared" si="31"/>
        <v>0</v>
      </c>
      <c r="AX160" s="39"/>
      <c r="AY160" s="39"/>
      <c r="AZ160" s="97">
        <f t="shared" si="40"/>
        <v>0</v>
      </c>
      <c r="BA160" s="98"/>
      <c r="BB160" s="97">
        <f t="shared" si="41"/>
        <v>0</v>
      </c>
      <c r="BC160" s="90"/>
      <c r="BD160" s="89">
        <f t="shared" si="43"/>
        <v>0</v>
      </c>
      <c r="BE160" s="98"/>
      <c r="BF160" s="89">
        <f t="shared" si="42"/>
        <v>0</v>
      </c>
      <c r="BG160" s="99"/>
      <c r="BH160" s="66"/>
      <c r="BI160" s="89">
        <f t="shared" si="0"/>
        <v>38.75</v>
      </c>
      <c r="BJ160" s="89">
        <f t="shared" si="7"/>
        <v>0</v>
      </c>
      <c r="BK160" s="89">
        <f t="shared" si="32"/>
        <v>0</v>
      </c>
      <c r="BL160" s="89">
        <f t="shared" si="26"/>
        <v>0</v>
      </c>
      <c r="BM160" s="89">
        <f t="shared" si="1"/>
        <v>27.5</v>
      </c>
      <c r="BN160" s="89">
        <f t="shared" si="9"/>
        <v>0</v>
      </c>
      <c r="BO160" s="89">
        <f t="shared" si="10"/>
        <v>0</v>
      </c>
      <c r="BP160" s="89">
        <f t="shared" si="27"/>
        <v>0</v>
      </c>
      <c r="BQ160" s="89">
        <f t="shared" si="2"/>
        <v>20</v>
      </c>
      <c r="BR160" s="89">
        <f t="shared" si="11"/>
        <v>0</v>
      </c>
      <c r="BS160" s="89">
        <f t="shared" si="12"/>
        <v>0</v>
      </c>
      <c r="BT160" s="89">
        <f t="shared" si="28"/>
        <v>0</v>
      </c>
      <c r="BU160" s="89">
        <f t="shared" si="3"/>
        <v>13.75</v>
      </c>
      <c r="BV160" s="89">
        <f t="shared" si="13"/>
        <v>0</v>
      </c>
      <c r="BW160" s="89">
        <f t="shared" si="14"/>
        <v>0</v>
      </c>
      <c r="BX160" s="89">
        <f t="shared" si="29"/>
        <v>0</v>
      </c>
      <c r="BY160" s="89" t="e">
        <f t="shared" si="4"/>
        <v>#REF!</v>
      </c>
      <c r="BZ160" s="89" t="e">
        <f t="shared" si="15"/>
        <v>#REF!</v>
      </c>
      <c r="CA160" s="89" t="e">
        <f t="shared" si="16"/>
        <v>#REF!</v>
      </c>
      <c r="CB160" s="89" t="e">
        <f t="shared" si="30"/>
        <v>#REF!</v>
      </c>
    </row>
    <row r="161" spans="1:80" ht="14.25" hidden="1" customHeight="1">
      <c r="A161" s="93">
        <v>154</v>
      </c>
      <c r="B161" s="82"/>
      <c r="C161" s="82"/>
      <c r="D161" s="100"/>
      <c r="E161" s="82"/>
      <c r="F161" s="82"/>
      <c r="G161" s="82"/>
      <c r="H161" s="82"/>
      <c r="I161" s="96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97">
        <f t="shared" si="21"/>
        <v>0</v>
      </c>
      <c r="W161" s="184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32"/>
      <c r="AW161" s="126">
        <f t="shared" si="31"/>
        <v>0</v>
      </c>
      <c r="AX161" s="39"/>
      <c r="AY161" s="39"/>
      <c r="AZ161" s="97">
        <f t="shared" si="40"/>
        <v>0</v>
      </c>
      <c r="BA161" s="98"/>
      <c r="BB161" s="97">
        <f t="shared" si="41"/>
        <v>0</v>
      </c>
      <c r="BC161" s="90"/>
      <c r="BD161" s="89">
        <f t="shared" si="43"/>
        <v>0</v>
      </c>
      <c r="BE161" s="98"/>
      <c r="BF161" s="89">
        <f t="shared" si="42"/>
        <v>0</v>
      </c>
      <c r="BG161" s="99"/>
      <c r="BH161" s="66"/>
      <c r="BI161" s="89">
        <f t="shared" si="0"/>
        <v>38.75</v>
      </c>
      <c r="BJ161" s="89">
        <f t="shared" si="7"/>
        <v>0</v>
      </c>
      <c r="BK161" s="89">
        <f t="shared" si="32"/>
        <v>0</v>
      </c>
      <c r="BL161" s="89">
        <f t="shared" si="26"/>
        <v>0</v>
      </c>
      <c r="BM161" s="89">
        <f t="shared" si="1"/>
        <v>27.5</v>
      </c>
      <c r="BN161" s="89">
        <f t="shared" si="9"/>
        <v>0</v>
      </c>
      <c r="BO161" s="89">
        <f t="shared" si="10"/>
        <v>0</v>
      </c>
      <c r="BP161" s="89">
        <f t="shared" si="27"/>
        <v>0</v>
      </c>
      <c r="BQ161" s="89">
        <f t="shared" si="2"/>
        <v>20</v>
      </c>
      <c r="BR161" s="89">
        <f t="shared" si="11"/>
        <v>0</v>
      </c>
      <c r="BS161" s="89">
        <f t="shared" si="12"/>
        <v>0</v>
      </c>
      <c r="BT161" s="89">
        <f t="shared" si="28"/>
        <v>0</v>
      </c>
      <c r="BU161" s="89">
        <f t="shared" si="3"/>
        <v>13.75</v>
      </c>
      <c r="BV161" s="89">
        <f t="shared" si="13"/>
        <v>0</v>
      </c>
      <c r="BW161" s="89">
        <f t="shared" si="14"/>
        <v>0</v>
      </c>
      <c r="BX161" s="89">
        <f t="shared" si="29"/>
        <v>0</v>
      </c>
      <c r="BY161" s="89" t="e">
        <f t="shared" si="4"/>
        <v>#REF!</v>
      </c>
      <c r="BZ161" s="89" t="e">
        <f t="shared" si="15"/>
        <v>#REF!</v>
      </c>
      <c r="CA161" s="89" t="e">
        <f t="shared" si="16"/>
        <v>#REF!</v>
      </c>
      <c r="CB161" s="89" t="e">
        <f t="shared" si="30"/>
        <v>#REF!</v>
      </c>
    </row>
    <row r="162" spans="1:80" ht="14.25" hidden="1" customHeight="1">
      <c r="A162" s="93">
        <v>155</v>
      </c>
      <c r="B162" s="82"/>
      <c r="C162" s="82"/>
      <c r="D162" s="100"/>
      <c r="E162" s="82"/>
      <c r="F162" s="82"/>
      <c r="G162" s="82"/>
      <c r="H162" s="82"/>
      <c r="I162" s="96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97">
        <f t="shared" si="21"/>
        <v>0</v>
      </c>
      <c r="W162" s="184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32"/>
      <c r="AW162" s="126">
        <f t="shared" si="31"/>
        <v>0</v>
      </c>
      <c r="AX162" s="39"/>
      <c r="AY162" s="39"/>
      <c r="AZ162" s="97">
        <f t="shared" si="40"/>
        <v>0</v>
      </c>
      <c r="BA162" s="98"/>
      <c r="BB162" s="97">
        <f t="shared" si="41"/>
        <v>0</v>
      </c>
      <c r="BC162" s="90"/>
      <c r="BD162" s="89">
        <f t="shared" si="43"/>
        <v>0</v>
      </c>
      <c r="BE162" s="98"/>
      <c r="BF162" s="89">
        <f t="shared" si="42"/>
        <v>0</v>
      </c>
      <c r="BG162" s="99"/>
      <c r="BH162" s="66"/>
      <c r="BI162" s="89">
        <f t="shared" si="0"/>
        <v>38.75</v>
      </c>
      <c r="BJ162" s="89">
        <f t="shared" si="7"/>
        <v>0</v>
      </c>
      <c r="BK162" s="89">
        <f t="shared" si="32"/>
        <v>0</v>
      </c>
      <c r="BL162" s="89">
        <f t="shared" si="26"/>
        <v>0</v>
      </c>
      <c r="BM162" s="89">
        <f t="shared" si="1"/>
        <v>27.5</v>
      </c>
      <c r="BN162" s="89">
        <f t="shared" si="9"/>
        <v>0</v>
      </c>
      <c r="BO162" s="89">
        <f t="shared" si="10"/>
        <v>0</v>
      </c>
      <c r="BP162" s="89">
        <f t="shared" si="27"/>
        <v>0</v>
      </c>
      <c r="BQ162" s="89">
        <f t="shared" si="2"/>
        <v>20</v>
      </c>
      <c r="BR162" s="89">
        <f t="shared" si="11"/>
        <v>0</v>
      </c>
      <c r="BS162" s="89">
        <f t="shared" si="12"/>
        <v>0</v>
      </c>
      <c r="BT162" s="89">
        <f t="shared" si="28"/>
        <v>0</v>
      </c>
      <c r="BU162" s="89">
        <f t="shared" si="3"/>
        <v>13.75</v>
      </c>
      <c r="BV162" s="89">
        <f t="shared" si="13"/>
        <v>0</v>
      </c>
      <c r="BW162" s="89">
        <f t="shared" si="14"/>
        <v>0</v>
      </c>
      <c r="BX162" s="89">
        <f t="shared" si="29"/>
        <v>0</v>
      </c>
      <c r="BY162" s="89" t="e">
        <f t="shared" si="4"/>
        <v>#REF!</v>
      </c>
      <c r="BZ162" s="89" t="e">
        <f t="shared" si="15"/>
        <v>#REF!</v>
      </c>
      <c r="CA162" s="89" t="e">
        <f t="shared" si="16"/>
        <v>#REF!</v>
      </c>
      <c r="CB162" s="89" t="e">
        <f t="shared" si="30"/>
        <v>#REF!</v>
      </c>
    </row>
    <row r="163" spans="1:80" ht="14.25" hidden="1" customHeight="1">
      <c r="A163" s="93">
        <v>156</v>
      </c>
      <c r="B163" s="82"/>
      <c r="C163" s="82"/>
      <c r="D163" s="100"/>
      <c r="E163" s="82"/>
      <c r="F163" s="82"/>
      <c r="G163" s="82"/>
      <c r="H163" s="82"/>
      <c r="I163" s="96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97">
        <f t="shared" si="21"/>
        <v>0</v>
      </c>
      <c r="W163" s="184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32"/>
      <c r="AW163" s="126">
        <f t="shared" si="31"/>
        <v>0</v>
      </c>
      <c r="AX163" s="39"/>
      <c r="AY163" s="39"/>
      <c r="AZ163" s="97">
        <f t="shared" ref="AZ163:AZ194" si="44">SUM(D163:H163)</f>
        <v>0</v>
      </c>
      <c r="BA163" s="98"/>
      <c r="BB163" s="97">
        <f t="shared" ref="BB163:BB194" si="45">SUM(I163:O163)</f>
        <v>0</v>
      </c>
      <c r="BC163" s="90"/>
      <c r="BD163" s="89">
        <f t="shared" si="43"/>
        <v>0</v>
      </c>
      <c r="BE163" s="98"/>
      <c r="BF163" s="89">
        <f t="shared" ref="BF163:BF194" si="46">SUM(T163:U163)</f>
        <v>0</v>
      </c>
      <c r="BG163" s="99"/>
      <c r="BH163" s="66"/>
      <c r="BI163" s="89">
        <f t="shared" si="0"/>
        <v>38.75</v>
      </c>
      <c r="BJ163" s="89">
        <f t="shared" si="7"/>
        <v>0</v>
      </c>
      <c r="BK163" s="89">
        <f t="shared" si="32"/>
        <v>0</v>
      </c>
      <c r="BL163" s="89">
        <f t="shared" si="26"/>
        <v>0</v>
      </c>
      <c r="BM163" s="89">
        <f t="shared" si="1"/>
        <v>27.5</v>
      </c>
      <c r="BN163" s="89">
        <f t="shared" si="9"/>
        <v>0</v>
      </c>
      <c r="BO163" s="89">
        <f t="shared" si="10"/>
        <v>0</v>
      </c>
      <c r="BP163" s="89">
        <f t="shared" si="27"/>
        <v>0</v>
      </c>
      <c r="BQ163" s="89">
        <f t="shared" si="2"/>
        <v>20</v>
      </c>
      <c r="BR163" s="89">
        <f t="shared" si="11"/>
        <v>0</v>
      </c>
      <c r="BS163" s="89">
        <f t="shared" si="12"/>
        <v>0</v>
      </c>
      <c r="BT163" s="89">
        <f t="shared" si="28"/>
        <v>0</v>
      </c>
      <c r="BU163" s="89">
        <f t="shared" si="3"/>
        <v>13.75</v>
      </c>
      <c r="BV163" s="89">
        <f t="shared" si="13"/>
        <v>0</v>
      </c>
      <c r="BW163" s="89">
        <f t="shared" si="14"/>
        <v>0</v>
      </c>
      <c r="BX163" s="89">
        <f t="shared" si="29"/>
        <v>0</v>
      </c>
      <c r="BY163" s="89" t="e">
        <f t="shared" si="4"/>
        <v>#REF!</v>
      </c>
      <c r="BZ163" s="89" t="e">
        <f t="shared" si="15"/>
        <v>#REF!</v>
      </c>
      <c r="CA163" s="89" t="e">
        <f t="shared" si="16"/>
        <v>#REF!</v>
      </c>
      <c r="CB163" s="89" t="e">
        <f t="shared" si="30"/>
        <v>#REF!</v>
      </c>
    </row>
    <row r="164" spans="1:80" ht="14.25" hidden="1" customHeight="1">
      <c r="A164" s="93">
        <v>157</v>
      </c>
      <c r="B164" s="82"/>
      <c r="C164" s="82"/>
      <c r="D164" s="100"/>
      <c r="E164" s="82"/>
      <c r="F164" s="82"/>
      <c r="G164" s="82"/>
      <c r="H164" s="82"/>
      <c r="I164" s="96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97">
        <f t="shared" si="21"/>
        <v>0</v>
      </c>
      <c r="W164" s="184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32"/>
      <c r="AW164" s="126">
        <f t="shared" si="31"/>
        <v>0</v>
      </c>
      <c r="AX164" s="39"/>
      <c r="AY164" s="39"/>
      <c r="AZ164" s="97">
        <f t="shared" si="44"/>
        <v>0</v>
      </c>
      <c r="BA164" s="98"/>
      <c r="BB164" s="97">
        <f t="shared" si="45"/>
        <v>0</v>
      </c>
      <c r="BC164" s="90"/>
      <c r="BD164" s="89">
        <f t="shared" si="43"/>
        <v>0</v>
      </c>
      <c r="BE164" s="98"/>
      <c r="BF164" s="89">
        <f t="shared" si="46"/>
        <v>0</v>
      </c>
      <c r="BG164" s="99"/>
      <c r="BH164" s="66"/>
      <c r="BI164" s="89">
        <f t="shared" si="0"/>
        <v>38.75</v>
      </c>
      <c r="BJ164" s="89">
        <f t="shared" si="7"/>
        <v>0</v>
      </c>
      <c r="BK164" s="89">
        <f t="shared" si="32"/>
        <v>0</v>
      </c>
      <c r="BL164" s="89">
        <f t="shared" si="26"/>
        <v>0</v>
      </c>
      <c r="BM164" s="89">
        <f t="shared" si="1"/>
        <v>27.5</v>
      </c>
      <c r="BN164" s="89">
        <f t="shared" si="9"/>
        <v>0</v>
      </c>
      <c r="BO164" s="89">
        <f t="shared" si="10"/>
        <v>0</v>
      </c>
      <c r="BP164" s="89">
        <f t="shared" si="27"/>
        <v>0</v>
      </c>
      <c r="BQ164" s="89">
        <f t="shared" si="2"/>
        <v>20</v>
      </c>
      <c r="BR164" s="89">
        <f t="shared" si="11"/>
        <v>0</v>
      </c>
      <c r="BS164" s="89">
        <f t="shared" si="12"/>
        <v>0</v>
      </c>
      <c r="BT164" s="89">
        <f t="shared" si="28"/>
        <v>0</v>
      </c>
      <c r="BU164" s="89">
        <f t="shared" si="3"/>
        <v>13.75</v>
      </c>
      <c r="BV164" s="89">
        <f t="shared" si="13"/>
        <v>0</v>
      </c>
      <c r="BW164" s="89">
        <f t="shared" si="14"/>
        <v>0</v>
      </c>
      <c r="BX164" s="89">
        <f t="shared" si="29"/>
        <v>0</v>
      </c>
      <c r="BY164" s="89" t="e">
        <f t="shared" si="4"/>
        <v>#REF!</v>
      </c>
      <c r="BZ164" s="89" t="e">
        <f t="shared" si="15"/>
        <v>#REF!</v>
      </c>
      <c r="CA164" s="89" t="e">
        <f t="shared" si="16"/>
        <v>#REF!</v>
      </c>
      <c r="CB164" s="89" t="e">
        <f t="shared" si="30"/>
        <v>#REF!</v>
      </c>
    </row>
    <row r="165" spans="1:80" ht="14.25" hidden="1" customHeight="1">
      <c r="A165" s="93">
        <v>158</v>
      </c>
      <c r="B165" s="82"/>
      <c r="C165" s="82"/>
      <c r="D165" s="100"/>
      <c r="E165" s="82"/>
      <c r="F165" s="82"/>
      <c r="G165" s="82"/>
      <c r="H165" s="82"/>
      <c r="I165" s="96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97">
        <f t="shared" si="21"/>
        <v>0</v>
      </c>
      <c r="W165" s="184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32"/>
      <c r="AW165" s="126">
        <f t="shared" si="31"/>
        <v>0</v>
      </c>
      <c r="AX165" s="39"/>
      <c r="AY165" s="39"/>
      <c r="AZ165" s="97">
        <f t="shared" si="44"/>
        <v>0</v>
      </c>
      <c r="BA165" s="98"/>
      <c r="BB165" s="97">
        <f t="shared" si="45"/>
        <v>0</v>
      </c>
      <c r="BC165" s="90"/>
      <c r="BD165" s="89">
        <f t="shared" si="43"/>
        <v>0</v>
      </c>
      <c r="BE165" s="98"/>
      <c r="BF165" s="89">
        <f t="shared" si="46"/>
        <v>0</v>
      </c>
      <c r="BG165" s="99"/>
      <c r="BH165" s="66"/>
      <c r="BI165" s="89">
        <f t="shared" si="0"/>
        <v>38.75</v>
      </c>
      <c r="BJ165" s="89">
        <f t="shared" si="7"/>
        <v>0</v>
      </c>
      <c r="BK165" s="89">
        <f t="shared" si="32"/>
        <v>0</v>
      </c>
      <c r="BL165" s="89">
        <f t="shared" si="26"/>
        <v>0</v>
      </c>
      <c r="BM165" s="89">
        <f t="shared" si="1"/>
        <v>27.5</v>
      </c>
      <c r="BN165" s="89">
        <f t="shared" si="9"/>
        <v>0</v>
      </c>
      <c r="BO165" s="89">
        <f t="shared" si="10"/>
        <v>0</v>
      </c>
      <c r="BP165" s="89">
        <f t="shared" si="27"/>
        <v>0</v>
      </c>
      <c r="BQ165" s="89">
        <f t="shared" si="2"/>
        <v>20</v>
      </c>
      <c r="BR165" s="89">
        <f t="shared" si="11"/>
        <v>0</v>
      </c>
      <c r="BS165" s="89">
        <f t="shared" si="12"/>
        <v>0</v>
      </c>
      <c r="BT165" s="89">
        <f t="shared" si="28"/>
        <v>0</v>
      </c>
      <c r="BU165" s="89">
        <f t="shared" si="3"/>
        <v>13.75</v>
      </c>
      <c r="BV165" s="89">
        <f t="shared" si="13"/>
        <v>0</v>
      </c>
      <c r="BW165" s="89">
        <f t="shared" si="14"/>
        <v>0</v>
      </c>
      <c r="BX165" s="89">
        <f t="shared" si="29"/>
        <v>0</v>
      </c>
      <c r="BY165" s="89" t="e">
        <f t="shared" si="4"/>
        <v>#REF!</v>
      </c>
      <c r="BZ165" s="89" t="e">
        <f t="shared" si="15"/>
        <v>#REF!</v>
      </c>
      <c r="CA165" s="89" t="e">
        <f t="shared" si="16"/>
        <v>#REF!</v>
      </c>
      <c r="CB165" s="89" t="e">
        <f t="shared" si="30"/>
        <v>#REF!</v>
      </c>
    </row>
    <row r="166" spans="1:80" ht="14.25" hidden="1" customHeight="1">
      <c r="A166" s="93">
        <v>159</v>
      </c>
      <c r="B166" s="82"/>
      <c r="C166" s="82"/>
      <c r="D166" s="100"/>
      <c r="E166" s="82"/>
      <c r="F166" s="82"/>
      <c r="G166" s="82"/>
      <c r="H166" s="82"/>
      <c r="I166" s="96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97">
        <f t="shared" si="21"/>
        <v>0</v>
      </c>
      <c r="W166" s="184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32"/>
      <c r="AW166" s="126">
        <f t="shared" si="31"/>
        <v>0</v>
      </c>
      <c r="AX166" s="39"/>
      <c r="AY166" s="39"/>
      <c r="AZ166" s="97">
        <f t="shared" si="44"/>
        <v>0</v>
      </c>
      <c r="BA166" s="98"/>
      <c r="BB166" s="97">
        <f t="shared" si="45"/>
        <v>0</v>
      </c>
      <c r="BC166" s="90"/>
      <c r="BD166" s="89">
        <f t="shared" si="43"/>
        <v>0</v>
      </c>
      <c r="BE166" s="98"/>
      <c r="BF166" s="89">
        <f t="shared" si="46"/>
        <v>0</v>
      </c>
      <c r="BG166" s="99"/>
      <c r="BH166" s="66"/>
      <c r="BI166" s="89">
        <f t="shared" si="0"/>
        <v>38.75</v>
      </c>
      <c r="BJ166" s="89">
        <f t="shared" si="7"/>
        <v>0</v>
      </c>
      <c r="BK166" s="89">
        <f t="shared" si="32"/>
        <v>0</v>
      </c>
      <c r="BL166" s="89">
        <f t="shared" si="26"/>
        <v>0</v>
      </c>
      <c r="BM166" s="89">
        <f t="shared" si="1"/>
        <v>27.5</v>
      </c>
      <c r="BN166" s="89">
        <f t="shared" si="9"/>
        <v>0</v>
      </c>
      <c r="BO166" s="89">
        <f t="shared" si="10"/>
        <v>0</v>
      </c>
      <c r="BP166" s="89">
        <f t="shared" si="27"/>
        <v>0</v>
      </c>
      <c r="BQ166" s="89">
        <f t="shared" si="2"/>
        <v>20</v>
      </c>
      <c r="BR166" s="89">
        <f t="shared" si="11"/>
        <v>0</v>
      </c>
      <c r="BS166" s="89">
        <f t="shared" si="12"/>
        <v>0</v>
      </c>
      <c r="BT166" s="89">
        <f t="shared" si="28"/>
        <v>0</v>
      </c>
      <c r="BU166" s="89">
        <f t="shared" si="3"/>
        <v>13.75</v>
      </c>
      <c r="BV166" s="89">
        <f t="shared" si="13"/>
        <v>0</v>
      </c>
      <c r="BW166" s="89">
        <f t="shared" si="14"/>
        <v>0</v>
      </c>
      <c r="BX166" s="89">
        <f t="shared" si="29"/>
        <v>0</v>
      </c>
      <c r="BY166" s="89" t="e">
        <f t="shared" si="4"/>
        <v>#REF!</v>
      </c>
      <c r="BZ166" s="89" t="e">
        <f t="shared" si="15"/>
        <v>#REF!</v>
      </c>
      <c r="CA166" s="89" t="e">
        <f t="shared" si="16"/>
        <v>#REF!</v>
      </c>
      <c r="CB166" s="89" t="e">
        <f t="shared" si="30"/>
        <v>#REF!</v>
      </c>
    </row>
    <row r="167" spans="1:80" ht="14.25" hidden="1" customHeight="1">
      <c r="A167" s="93">
        <v>160</v>
      </c>
      <c r="B167" s="82"/>
      <c r="C167" s="82"/>
      <c r="D167" s="100"/>
      <c r="E167" s="82"/>
      <c r="F167" s="82"/>
      <c r="G167" s="82"/>
      <c r="H167" s="82"/>
      <c r="I167" s="96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97">
        <f t="shared" si="21"/>
        <v>0</v>
      </c>
      <c r="W167" s="184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32"/>
      <c r="AW167" s="126">
        <f t="shared" si="31"/>
        <v>0</v>
      </c>
      <c r="AX167" s="39"/>
      <c r="AY167" s="39"/>
      <c r="AZ167" s="97">
        <f t="shared" si="44"/>
        <v>0</v>
      </c>
      <c r="BA167" s="98"/>
      <c r="BB167" s="97">
        <f t="shared" si="45"/>
        <v>0</v>
      </c>
      <c r="BC167" s="90"/>
      <c r="BD167" s="89">
        <f t="shared" si="43"/>
        <v>0</v>
      </c>
      <c r="BE167" s="98"/>
      <c r="BF167" s="89">
        <f t="shared" si="46"/>
        <v>0</v>
      </c>
      <c r="BG167" s="99"/>
      <c r="BH167" s="66"/>
      <c r="BI167" s="89">
        <f t="shared" si="0"/>
        <v>38.75</v>
      </c>
      <c r="BJ167" s="89">
        <f t="shared" si="7"/>
        <v>0</v>
      </c>
      <c r="BK167" s="89">
        <f t="shared" si="32"/>
        <v>0</v>
      </c>
      <c r="BL167" s="89">
        <f t="shared" si="26"/>
        <v>0</v>
      </c>
      <c r="BM167" s="89">
        <f t="shared" si="1"/>
        <v>27.5</v>
      </c>
      <c r="BN167" s="89">
        <f t="shared" si="9"/>
        <v>0</v>
      </c>
      <c r="BO167" s="89">
        <f t="shared" si="10"/>
        <v>0</v>
      </c>
      <c r="BP167" s="89">
        <f t="shared" si="27"/>
        <v>0</v>
      </c>
      <c r="BQ167" s="89">
        <f t="shared" si="2"/>
        <v>20</v>
      </c>
      <c r="BR167" s="89">
        <f t="shared" si="11"/>
        <v>0</v>
      </c>
      <c r="BS167" s="89">
        <f t="shared" si="12"/>
        <v>0</v>
      </c>
      <c r="BT167" s="89">
        <f t="shared" si="28"/>
        <v>0</v>
      </c>
      <c r="BU167" s="89">
        <f t="shared" si="3"/>
        <v>13.75</v>
      </c>
      <c r="BV167" s="89">
        <f t="shared" si="13"/>
        <v>0</v>
      </c>
      <c r="BW167" s="89">
        <f t="shared" si="14"/>
        <v>0</v>
      </c>
      <c r="BX167" s="89">
        <f t="shared" si="29"/>
        <v>0</v>
      </c>
      <c r="BY167" s="89" t="e">
        <f t="shared" si="4"/>
        <v>#REF!</v>
      </c>
      <c r="BZ167" s="89" t="e">
        <f t="shared" si="15"/>
        <v>#REF!</v>
      </c>
      <c r="CA167" s="89" t="e">
        <f t="shared" si="16"/>
        <v>#REF!</v>
      </c>
      <c r="CB167" s="89" t="e">
        <f t="shared" si="30"/>
        <v>#REF!</v>
      </c>
    </row>
    <row r="168" spans="1:80" ht="14.25" hidden="1" customHeight="1">
      <c r="A168" s="93">
        <v>161</v>
      </c>
      <c r="B168" s="82"/>
      <c r="C168" s="82"/>
      <c r="D168" s="100"/>
      <c r="E168" s="82"/>
      <c r="F168" s="82"/>
      <c r="G168" s="82"/>
      <c r="H168" s="82"/>
      <c r="I168" s="96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97">
        <f t="shared" si="21"/>
        <v>0</v>
      </c>
      <c r="W168" s="184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32"/>
      <c r="AW168" s="126">
        <f t="shared" si="31"/>
        <v>0</v>
      </c>
      <c r="AX168" s="39"/>
      <c r="AY168" s="39"/>
      <c r="AZ168" s="97">
        <f t="shared" si="44"/>
        <v>0</v>
      </c>
      <c r="BA168" s="98"/>
      <c r="BB168" s="97">
        <f t="shared" si="45"/>
        <v>0</v>
      </c>
      <c r="BC168" s="90"/>
      <c r="BD168" s="89">
        <f t="shared" si="43"/>
        <v>0</v>
      </c>
      <c r="BE168" s="98"/>
      <c r="BF168" s="89">
        <f t="shared" si="46"/>
        <v>0</v>
      </c>
      <c r="BG168" s="99"/>
      <c r="BH168" s="66"/>
      <c r="BI168" s="89">
        <f t="shared" si="0"/>
        <v>38.75</v>
      </c>
      <c r="BJ168" s="89">
        <f t="shared" si="7"/>
        <v>0</v>
      </c>
      <c r="BK168" s="89">
        <f t="shared" si="32"/>
        <v>0</v>
      </c>
      <c r="BL168" s="89">
        <f t="shared" si="26"/>
        <v>0</v>
      </c>
      <c r="BM168" s="89">
        <f t="shared" si="1"/>
        <v>27.5</v>
      </c>
      <c r="BN168" s="89">
        <f t="shared" si="9"/>
        <v>0</v>
      </c>
      <c r="BO168" s="89">
        <f t="shared" si="10"/>
        <v>0</v>
      </c>
      <c r="BP168" s="89">
        <f t="shared" si="27"/>
        <v>0</v>
      </c>
      <c r="BQ168" s="89">
        <f t="shared" si="2"/>
        <v>20</v>
      </c>
      <c r="BR168" s="89">
        <f t="shared" si="11"/>
        <v>0</v>
      </c>
      <c r="BS168" s="89">
        <f t="shared" si="12"/>
        <v>0</v>
      </c>
      <c r="BT168" s="89">
        <f t="shared" si="28"/>
        <v>0</v>
      </c>
      <c r="BU168" s="89">
        <f t="shared" si="3"/>
        <v>13.75</v>
      </c>
      <c r="BV168" s="89">
        <f t="shared" si="13"/>
        <v>0</v>
      </c>
      <c r="BW168" s="89">
        <f t="shared" si="14"/>
        <v>0</v>
      </c>
      <c r="BX168" s="89">
        <f t="shared" si="29"/>
        <v>0</v>
      </c>
      <c r="BY168" s="89" t="e">
        <f t="shared" si="4"/>
        <v>#REF!</v>
      </c>
      <c r="BZ168" s="89" t="e">
        <f t="shared" si="15"/>
        <v>#REF!</v>
      </c>
      <c r="CA168" s="89" t="e">
        <f t="shared" si="16"/>
        <v>#REF!</v>
      </c>
      <c r="CB168" s="89" t="e">
        <f t="shared" si="30"/>
        <v>#REF!</v>
      </c>
    </row>
    <row r="169" spans="1:80" ht="14.25" hidden="1" customHeight="1">
      <c r="A169" s="93">
        <v>162</v>
      </c>
      <c r="B169" s="82"/>
      <c r="C169" s="82"/>
      <c r="D169" s="100"/>
      <c r="E169" s="82"/>
      <c r="F169" s="82"/>
      <c r="G169" s="82"/>
      <c r="H169" s="82"/>
      <c r="I169" s="96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97">
        <f t="shared" si="21"/>
        <v>0</v>
      </c>
      <c r="W169" s="184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32"/>
      <c r="AW169" s="126">
        <f t="shared" si="31"/>
        <v>0</v>
      </c>
      <c r="AX169" s="39"/>
      <c r="AY169" s="39"/>
      <c r="AZ169" s="97">
        <f t="shared" si="44"/>
        <v>0</v>
      </c>
      <c r="BA169" s="98"/>
      <c r="BB169" s="97">
        <f t="shared" si="45"/>
        <v>0</v>
      </c>
      <c r="BC169" s="90"/>
      <c r="BD169" s="89">
        <f t="shared" si="43"/>
        <v>0</v>
      </c>
      <c r="BE169" s="98"/>
      <c r="BF169" s="89">
        <f t="shared" si="46"/>
        <v>0</v>
      </c>
      <c r="BG169" s="99"/>
      <c r="BH169" s="66"/>
      <c r="BI169" s="89">
        <f t="shared" si="0"/>
        <v>38.75</v>
      </c>
      <c r="BJ169" s="89">
        <f t="shared" si="7"/>
        <v>0</v>
      </c>
      <c r="BK169" s="89">
        <f t="shared" si="32"/>
        <v>0</v>
      </c>
      <c r="BL169" s="89">
        <f t="shared" si="26"/>
        <v>0</v>
      </c>
      <c r="BM169" s="89">
        <f t="shared" si="1"/>
        <v>27.5</v>
      </c>
      <c r="BN169" s="89">
        <f t="shared" si="9"/>
        <v>0</v>
      </c>
      <c r="BO169" s="89">
        <f t="shared" si="10"/>
        <v>0</v>
      </c>
      <c r="BP169" s="89">
        <f t="shared" si="27"/>
        <v>0</v>
      </c>
      <c r="BQ169" s="89">
        <f t="shared" si="2"/>
        <v>20</v>
      </c>
      <c r="BR169" s="89">
        <f t="shared" si="11"/>
        <v>0</v>
      </c>
      <c r="BS169" s="89">
        <f t="shared" si="12"/>
        <v>0</v>
      </c>
      <c r="BT169" s="89">
        <f t="shared" si="28"/>
        <v>0</v>
      </c>
      <c r="BU169" s="89">
        <f t="shared" si="3"/>
        <v>13.75</v>
      </c>
      <c r="BV169" s="89">
        <f t="shared" si="13"/>
        <v>0</v>
      </c>
      <c r="BW169" s="89">
        <f t="shared" si="14"/>
        <v>0</v>
      </c>
      <c r="BX169" s="89">
        <f t="shared" si="29"/>
        <v>0</v>
      </c>
      <c r="BY169" s="89" t="e">
        <f t="shared" si="4"/>
        <v>#REF!</v>
      </c>
      <c r="BZ169" s="89" t="e">
        <f t="shared" si="15"/>
        <v>#REF!</v>
      </c>
      <c r="CA169" s="89" t="e">
        <f t="shared" si="16"/>
        <v>#REF!</v>
      </c>
      <c r="CB169" s="89" t="e">
        <f t="shared" si="30"/>
        <v>#REF!</v>
      </c>
    </row>
    <row r="170" spans="1:80" ht="14.25" hidden="1" customHeight="1">
      <c r="A170" s="93">
        <v>163</v>
      </c>
      <c r="B170" s="82"/>
      <c r="C170" s="82"/>
      <c r="D170" s="100"/>
      <c r="E170" s="82"/>
      <c r="F170" s="82"/>
      <c r="G170" s="82"/>
      <c r="H170" s="82"/>
      <c r="I170" s="96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97">
        <f t="shared" si="21"/>
        <v>0</v>
      </c>
      <c r="W170" s="184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32"/>
      <c r="AW170" s="126">
        <f t="shared" si="31"/>
        <v>0</v>
      </c>
      <c r="AX170" s="39"/>
      <c r="AY170" s="39"/>
      <c r="AZ170" s="97">
        <f t="shared" si="44"/>
        <v>0</v>
      </c>
      <c r="BA170" s="98"/>
      <c r="BB170" s="97">
        <f t="shared" si="45"/>
        <v>0</v>
      </c>
      <c r="BC170" s="90"/>
      <c r="BD170" s="89">
        <f t="shared" si="43"/>
        <v>0</v>
      </c>
      <c r="BE170" s="98"/>
      <c r="BF170" s="89">
        <f t="shared" si="46"/>
        <v>0</v>
      </c>
      <c r="BG170" s="99"/>
      <c r="BH170" s="66"/>
      <c r="BI170" s="89">
        <f t="shared" si="0"/>
        <v>38.75</v>
      </c>
      <c r="BJ170" s="89">
        <f t="shared" si="7"/>
        <v>0</v>
      </c>
      <c r="BK170" s="89">
        <f t="shared" si="32"/>
        <v>0</v>
      </c>
      <c r="BL170" s="89">
        <f t="shared" si="26"/>
        <v>0</v>
      </c>
      <c r="BM170" s="89">
        <f t="shared" si="1"/>
        <v>27.5</v>
      </c>
      <c r="BN170" s="89">
        <f t="shared" si="9"/>
        <v>0</v>
      </c>
      <c r="BO170" s="89">
        <f t="shared" si="10"/>
        <v>0</v>
      </c>
      <c r="BP170" s="89">
        <f t="shared" si="27"/>
        <v>0</v>
      </c>
      <c r="BQ170" s="89">
        <f t="shared" si="2"/>
        <v>20</v>
      </c>
      <c r="BR170" s="89">
        <f t="shared" si="11"/>
        <v>0</v>
      </c>
      <c r="BS170" s="89">
        <f t="shared" si="12"/>
        <v>0</v>
      </c>
      <c r="BT170" s="89">
        <f t="shared" si="28"/>
        <v>0</v>
      </c>
      <c r="BU170" s="89">
        <f t="shared" si="3"/>
        <v>13.75</v>
      </c>
      <c r="BV170" s="89">
        <f t="shared" si="13"/>
        <v>0</v>
      </c>
      <c r="BW170" s="89">
        <f t="shared" si="14"/>
        <v>0</v>
      </c>
      <c r="BX170" s="89">
        <f t="shared" si="29"/>
        <v>0</v>
      </c>
      <c r="BY170" s="89" t="e">
        <f t="shared" si="4"/>
        <v>#REF!</v>
      </c>
      <c r="BZ170" s="89" t="e">
        <f t="shared" si="15"/>
        <v>#REF!</v>
      </c>
      <c r="CA170" s="89" t="e">
        <f t="shared" si="16"/>
        <v>#REF!</v>
      </c>
      <c r="CB170" s="89" t="e">
        <f t="shared" si="30"/>
        <v>#REF!</v>
      </c>
    </row>
    <row r="171" spans="1:80" ht="14.25" hidden="1" customHeight="1">
      <c r="A171" s="93">
        <v>164</v>
      </c>
      <c r="B171" s="82"/>
      <c r="C171" s="82"/>
      <c r="D171" s="100"/>
      <c r="E171" s="82"/>
      <c r="F171" s="82"/>
      <c r="G171" s="82"/>
      <c r="H171" s="82"/>
      <c r="I171" s="96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97">
        <f t="shared" si="21"/>
        <v>0</v>
      </c>
      <c r="W171" s="184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32"/>
      <c r="AW171" s="126">
        <f t="shared" si="31"/>
        <v>0</v>
      </c>
      <c r="AX171" s="39"/>
      <c r="AY171" s="39"/>
      <c r="AZ171" s="97">
        <f t="shared" si="44"/>
        <v>0</v>
      </c>
      <c r="BA171" s="98"/>
      <c r="BB171" s="97">
        <f t="shared" si="45"/>
        <v>0</v>
      </c>
      <c r="BC171" s="90"/>
      <c r="BD171" s="89">
        <f t="shared" si="43"/>
        <v>0</v>
      </c>
      <c r="BE171" s="98"/>
      <c r="BF171" s="89">
        <f t="shared" si="46"/>
        <v>0</v>
      </c>
      <c r="BG171" s="99"/>
      <c r="BH171" s="66"/>
      <c r="BI171" s="89">
        <f t="shared" si="0"/>
        <v>38.75</v>
      </c>
      <c r="BJ171" s="89">
        <f t="shared" si="7"/>
        <v>0</v>
      </c>
      <c r="BK171" s="89">
        <f t="shared" si="32"/>
        <v>0</v>
      </c>
      <c r="BL171" s="89">
        <f t="shared" si="26"/>
        <v>0</v>
      </c>
      <c r="BM171" s="89">
        <f t="shared" si="1"/>
        <v>27.5</v>
      </c>
      <c r="BN171" s="89">
        <f t="shared" si="9"/>
        <v>0</v>
      </c>
      <c r="BO171" s="89">
        <f t="shared" si="10"/>
        <v>0</v>
      </c>
      <c r="BP171" s="89">
        <f t="shared" si="27"/>
        <v>0</v>
      </c>
      <c r="BQ171" s="89">
        <f t="shared" si="2"/>
        <v>20</v>
      </c>
      <c r="BR171" s="89">
        <f t="shared" si="11"/>
        <v>0</v>
      </c>
      <c r="BS171" s="89">
        <f t="shared" si="12"/>
        <v>0</v>
      </c>
      <c r="BT171" s="89">
        <f t="shared" si="28"/>
        <v>0</v>
      </c>
      <c r="BU171" s="89">
        <f t="shared" si="3"/>
        <v>13.75</v>
      </c>
      <c r="BV171" s="89">
        <f t="shared" si="13"/>
        <v>0</v>
      </c>
      <c r="BW171" s="89">
        <f t="shared" si="14"/>
        <v>0</v>
      </c>
      <c r="BX171" s="89">
        <f t="shared" si="29"/>
        <v>0</v>
      </c>
      <c r="BY171" s="89" t="e">
        <f t="shared" si="4"/>
        <v>#REF!</v>
      </c>
      <c r="BZ171" s="89" t="e">
        <f t="shared" si="15"/>
        <v>#REF!</v>
      </c>
      <c r="CA171" s="89" t="e">
        <f t="shared" si="16"/>
        <v>#REF!</v>
      </c>
      <c r="CB171" s="89" t="e">
        <f t="shared" si="30"/>
        <v>#REF!</v>
      </c>
    </row>
    <row r="172" spans="1:80" ht="14.25" hidden="1" customHeight="1">
      <c r="A172" s="93">
        <v>165</v>
      </c>
      <c r="B172" s="82"/>
      <c r="C172" s="82"/>
      <c r="D172" s="100"/>
      <c r="E172" s="82"/>
      <c r="F172" s="82"/>
      <c r="G172" s="82"/>
      <c r="H172" s="82"/>
      <c r="I172" s="96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97">
        <f t="shared" si="21"/>
        <v>0</v>
      </c>
      <c r="W172" s="184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32"/>
      <c r="AW172" s="126">
        <f t="shared" si="31"/>
        <v>0</v>
      </c>
      <c r="AX172" s="39"/>
      <c r="AY172" s="39"/>
      <c r="AZ172" s="97">
        <f t="shared" si="44"/>
        <v>0</v>
      </c>
      <c r="BA172" s="98"/>
      <c r="BB172" s="97">
        <f t="shared" si="45"/>
        <v>0</v>
      </c>
      <c r="BC172" s="90"/>
      <c r="BD172" s="89">
        <f t="shared" si="43"/>
        <v>0</v>
      </c>
      <c r="BE172" s="98"/>
      <c r="BF172" s="89">
        <f t="shared" si="46"/>
        <v>0</v>
      </c>
      <c r="BG172" s="99"/>
      <c r="BH172" s="66"/>
      <c r="BI172" s="89">
        <f t="shared" si="0"/>
        <v>38.75</v>
      </c>
      <c r="BJ172" s="89">
        <f t="shared" si="7"/>
        <v>0</v>
      </c>
      <c r="BK172" s="89">
        <f t="shared" si="32"/>
        <v>0</v>
      </c>
      <c r="BL172" s="89">
        <f t="shared" si="26"/>
        <v>0</v>
      </c>
      <c r="BM172" s="89">
        <f t="shared" si="1"/>
        <v>27.5</v>
      </c>
      <c r="BN172" s="89">
        <f t="shared" si="9"/>
        <v>0</v>
      </c>
      <c r="BO172" s="89">
        <f t="shared" si="10"/>
        <v>0</v>
      </c>
      <c r="BP172" s="89">
        <f t="shared" si="27"/>
        <v>0</v>
      </c>
      <c r="BQ172" s="89">
        <f t="shared" si="2"/>
        <v>20</v>
      </c>
      <c r="BR172" s="89">
        <f t="shared" si="11"/>
        <v>0</v>
      </c>
      <c r="BS172" s="89">
        <f t="shared" si="12"/>
        <v>0</v>
      </c>
      <c r="BT172" s="89">
        <f t="shared" si="28"/>
        <v>0</v>
      </c>
      <c r="BU172" s="89">
        <f t="shared" si="3"/>
        <v>13.75</v>
      </c>
      <c r="BV172" s="89">
        <f t="shared" si="13"/>
        <v>0</v>
      </c>
      <c r="BW172" s="89">
        <f t="shared" si="14"/>
        <v>0</v>
      </c>
      <c r="BX172" s="89">
        <f t="shared" si="29"/>
        <v>0</v>
      </c>
      <c r="BY172" s="89" t="e">
        <f t="shared" si="4"/>
        <v>#REF!</v>
      </c>
      <c r="BZ172" s="89" t="e">
        <f t="shared" si="15"/>
        <v>#REF!</v>
      </c>
      <c r="CA172" s="89" t="e">
        <f t="shared" si="16"/>
        <v>#REF!</v>
      </c>
      <c r="CB172" s="89" t="e">
        <f t="shared" si="30"/>
        <v>#REF!</v>
      </c>
    </row>
    <row r="173" spans="1:80" ht="14.25" hidden="1" customHeight="1">
      <c r="A173" s="93">
        <v>166</v>
      </c>
      <c r="B173" s="82"/>
      <c r="C173" s="82"/>
      <c r="D173" s="100"/>
      <c r="E173" s="82"/>
      <c r="F173" s="82"/>
      <c r="G173" s="82"/>
      <c r="H173" s="82"/>
      <c r="I173" s="96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97">
        <f t="shared" si="21"/>
        <v>0</v>
      </c>
      <c r="W173" s="184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32"/>
      <c r="AW173" s="126">
        <f t="shared" si="31"/>
        <v>0</v>
      </c>
      <c r="AX173" s="39"/>
      <c r="AY173" s="39"/>
      <c r="AZ173" s="97">
        <f t="shared" si="44"/>
        <v>0</v>
      </c>
      <c r="BA173" s="98"/>
      <c r="BB173" s="97">
        <f t="shared" si="45"/>
        <v>0</v>
      </c>
      <c r="BC173" s="90"/>
      <c r="BD173" s="89">
        <f t="shared" si="43"/>
        <v>0</v>
      </c>
      <c r="BE173" s="98"/>
      <c r="BF173" s="89">
        <f t="shared" si="46"/>
        <v>0</v>
      </c>
      <c r="BG173" s="99"/>
      <c r="BH173" s="66"/>
      <c r="BI173" s="89">
        <f t="shared" si="0"/>
        <v>38.75</v>
      </c>
      <c r="BJ173" s="89">
        <f t="shared" si="7"/>
        <v>0</v>
      </c>
      <c r="BK173" s="89">
        <f t="shared" si="32"/>
        <v>0</v>
      </c>
      <c r="BL173" s="89">
        <f t="shared" si="26"/>
        <v>0</v>
      </c>
      <c r="BM173" s="89">
        <f t="shared" si="1"/>
        <v>27.5</v>
      </c>
      <c r="BN173" s="89">
        <f t="shared" si="9"/>
        <v>0</v>
      </c>
      <c r="BO173" s="89">
        <f t="shared" si="10"/>
        <v>0</v>
      </c>
      <c r="BP173" s="89">
        <f t="shared" si="27"/>
        <v>0</v>
      </c>
      <c r="BQ173" s="89">
        <f t="shared" si="2"/>
        <v>20</v>
      </c>
      <c r="BR173" s="89">
        <f t="shared" si="11"/>
        <v>0</v>
      </c>
      <c r="BS173" s="89">
        <f t="shared" si="12"/>
        <v>0</v>
      </c>
      <c r="BT173" s="89">
        <f t="shared" si="28"/>
        <v>0</v>
      </c>
      <c r="BU173" s="89">
        <f t="shared" si="3"/>
        <v>13.75</v>
      </c>
      <c r="BV173" s="89">
        <f t="shared" si="13"/>
        <v>0</v>
      </c>
      <c r="BW173" s="89">
        <f t="shared" si="14"/>
        <v>0</v>
      </c>
      <c r="BX173" s="89">
        <f t="shared" si="29"/>
        <v>0</v>
      </c>
      <c r="BY173" s="89" t="e">
        <f t="shared" si="4"/>
        <v>#REF!</v>
      </c>
      <c r="BZ173" s="89" t="e">
        <f t="shared" si="15"/>
        <v>#REF!</v>
      </c>
      <c r="CA173" s="89" t="e">
        <f t="shared" si="16"/>
        <v>#REF!</v>
      </c>
      <c r="CB173" s="89" t="e">
        <f t="shared" si="30"/>
        <v>#REF!</v>
      </c>
    </row>
    <row r="174" spans="1:80" ht="14.25" hidden="1" customHeight="1">
      <c r="A174" s="93">
        <v>167</v>
      </c>
      <c r="B174" s="82"/>
      <c r="C174" s="82"/>
      <c r="D174" s="100"/>
      <c r="E174" s="82"/>
      <c r="F174" s="82"/>
      <c r="G174" s="82"/>
      <c r="H174" s="82"/>
      <c r="I174" s="96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97">
        <f t="shared" si="21"/>
        <v>0</v>
      </c>
      <c r="W174" s="184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32"/>
      <c r="AW174" s="126">
        <f t="shared" si="31"/>
        <v>0</v>
      </c>
      <c r="AX174" s="39"/>
      <c r="AY174" s="39"/>
      <c r="AZ174" s="97">
        <f t="shared" si="44"/>
        <v>0</v>
      </c>
      <c r="BA174" s="98"/>
      <c r="BB174" s="97">
        <f t="shared" si="45"/>
        <v>0</v>
      </c>
      <c r="BC174" s="90"/>
      <c r="BD174" s="89">
        <f t="shared" si="43"/>
        <v>0</v>
      </c>
      <c r="BE174" s="98"/>
      <c r="BF174" s="89">
        <f t="shared" si="46"/>
        <v>0</v>
      </c>
      <c r="BG174" s="99"/>
      <c r="BH174" s="66"/>
      <c r="BI174" s="89">
        <f t="shared" si="0"/>
        <v>38.75</v>
      </c>
      <c r="BJ174" s="89">
        <f t="shared" si="7"/>
        <v>0</v>
      </c>
      <c r="BK174" s="89">
        <f t="shared" si="32"/>
        <v>0</v>
      </c>
      <c r="BL174" s="89">
        <f t="shared" si="26"/>
        <v>0</v>
      </c>
      <c r="BM174" s="89">
        <f t="shared" si="1"/>
        <v>27.5</v>
      </c>
      <c r="BN174" s="89">
        <f t="shared" si="9"/>
        <v>0</v>
      </c>
      <c r="BO174" s="89">
        <f t="shared" si="10"/>
        <v>0</v>
      </c>
      <c r="BP174" s="89">
        <f t="shared" si="27"/>
        <v>0</v>
      </c>
      <c r="BQ174" s="89">
        <f t="shared" si="2"/>
        <v>20</v>
      </c>
      <c r="BR174" s="89">
        <f t="shared" si="11"/>
        <v>0</v>
      </c>
      <c r="BS174" s="89">
        <f t="shared" si="12"/>
        <v>0</v>
      </c>
      <c r="BT174" s="89">
        <f t="shared" si="28"/>
        <v>0</v>
      </c>
      <c r="BU174" s="89">
        <f t="shared" si="3"/>
        <v>13.75</v>
      </c>
      <c r="BV174" s="89">
        <f t="shared" si="13"/>
        <v>0</v>
      </c>
      <c r="BW174" s="89">
        <f t="shared" si="14"/>
        <v>0</v>
      </c>
      <c r="BX174" s="89">
        <f t="shared" si="29"/>
        <v>0</v>
      </c>
      <c r="BY174" s="89" t="e">
        <f t="shared" si="4"/>
        <v>#REF!</v>
      </c>
      <c r="BZ174" s="89" t="e">
        <f t="shared" si="15"/>
        <v>#REF!</v>
      </c>
      <c r="CA174" s="89" t="e">
        <f t="shared" si="16"/>
        <v>#REF!</v>
      </c>
      <c r="CB174" s="89" t="e">
        <f t="shared" si="30"/>
        <v>#REF!</v>
      </c>
    </row>
    <row r="175" spans="1:80" ht="14.25" hidden="1" customHeight="1">
      <c r="A175" s="93">
        <v>168</v>
      </c>
      <c r="B175" s="82"/>
      <c r="C175" s="82"/>
      <c r="D175" s="100"/>
      <c r="E175" s="82"/>
      <c r="F175" s="82"/>
      <c r="G175" s="82"/>
      <c r="H175" s="82"/>
      <c r="I175" s="96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97">
        <f t="shared" si="21"/>
        <v>0</v>
      </c>
      <c r="W175" s="184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32"/>
      <c r="AW175" s="126">
        <f t="shared" si="31"/>
        <v>0</v>
      </c>
      <c r="AX175" s="39"/>
      <c r="AY175" s="39"/>
      <c r="AZ175" s="97">
        <f t="shared" si="44"/>
        <v>0</v>
      </c>
      <c r="BA175" s="98"/>
      <c r="BB175" s="97">
        <f t="shared" si="45"/>
        <v>0</v>
      </c>
      <c r="BC175" s="90"/>
      <c r="BD175" s="89">
        <f t="shared" si="43"/>
        <v>0</v>
      </c>
      <c r="BE175" s="98"/>
      <c r="BF175" s="89">
        <f t="shared" si="46"/>
        <v>0</v>
      </c>
      <c r="BG175" s="99"/>
      <c r="BH175" s="66"/>
      <c r="BI175" s="89">
        <f t="shared" si="0"/>
        <v>38.75</v>
      </c>
      <c r="BJ175" s="89">
        <f t="shared" si="7"/>
        <v>0</v>
      </c>
      <c r="BK175" s="89">
        <f t="shared" si="32"/>
        <v>0</v>
      </c>
      <c r="BL175" s="89">
        <f t="shared" si="26"/>
        <v>0</v>
      </c>
      <c r="BM175" s="89">
        <f t="shared" si="1"/>
        <v>27.5</v>
      </c>
      <c r="BN175" s="89">
        <f t="shared" si="9"/>
        <v>0</v>
      </c>
      <c r="BO175" s="89">
        <f t="shared" si="10"/>
        <v>0</v>
      </c>
      <c r="BP175" s="89">
        <f t="shared" si="27"/>
        <v>0</v>
      </c>
      <c r="BQ175" s="89">
        <f t="shared" si="2"/>
        <v>20</v>
      </c>
      <c r="BR175" s="89">
        <f t="shared" si="11"/>
        <v>0</v>
      </c>
      <c r="BS175" s="89">
        <f t="shared" si="12"/>
        <v>0</v>
      </c>
      <c r="BT175" s="89">
        <f t="shared" si="28"/>
        <v>0</v>
      </c>
      <c r="BU175" s="89">
        <f t="shared" si="3"/>
        <v>13.75</v>
      </c>
      <c r="BV175" s="89">
        <f t="shared" si="13"/>
        <v>0</v>
      </c>
      <c r="BW175" s="89">
        <f t="shared" si="14"/>
        <v>0</v>
      </c>
      <c r="BX175" s="89">
        <f t="shared" si="29"/>
        <v>0</v>
      </c>
      <c r="BY175" s="89" t="e">
        <f t="shared" si="4"/>
        <v>#REF!</v>
      </c>
      <c r="BZ175" s="89" t="e">
        <f t="shared" si="15"/>
        <v>#REF!</v>
      </c>
      <c r="CA175" s="89" t="e">
        <f t="shared" si="16"/>
        <v>#REF!</v>
      </c>
      <c r="CB175" s="89" t="e">
        <f t="shared" si="30"/>
        <v>#REF!</v>
      </c>
    </row>
    <row r="176" spans="1:80" ht="14.25" hidden="1" customHeight="1">
      <c r="A176" s="93">
        <v>169</v>
      </c>
      <c r="B176" s="82"/>
      <c r="C176" s="82"/>
      <c r="D176" s="100"/>
      <c r="E176" s="82"/>
      <c r="F176" s="82"/>
      <c r="G176" s="82"/>
      <c r="H176" s="82"/>
      <c r="I176" s="96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97">
        <f t="shared" si="21"/>
        <v>0</v>
      </c>
      <c r="W176" s="184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32"/>
      <c r="AW176" s="126">
        <f t="shared" si="31"/>
        <v>0</v>
      </c>
      <c r="AX176" s="39"/>
      <c r="AY176" s="39"/>
      <c r="AZ176" s="97">
        <f t="shared" si="44"/>
        <v>0</v>
      </c>
      <c r="BA176" s="98"/>
      <c r="BB176" s="97">
        <f t="shared" si="45"/>
        <v>0</v>
      </c>
      <c r="BC176" s="90"/>
      <c r="BD176" s="89">
        <f t="shared" si="43"/>
        <v>0</v>
      </c>
      <c r="BE176" s="98"/>
      <c r="BF176" s="89">
        <f t="shared" si="46"/>
        <v>0</v>
      </c>
      <c r="BG176" s="99"/>
      <c r="BH176" s="66"/>
      <c r="BI176" s="89">
        <f t="shared" si="0"/>
        <v>38.75</v>
      </c>
      <c r="BJ176" s="89">
        <f t="shared" si="7"/>
        <v>0</v>
      </c>
      <c r="BK176" s="89">
        <f t="shared" si="32"/>
        <v>0</v>
      </c>
      <c r="BL176" s="89">
        <f t="shared" si="26"/>
        <v>0</v>
      </c>
      <c r="BM176" s="89">
        <f t="shared" si="1"/>
        <v>27.5</v>
      </c>
      <c r="BN176" s="89">
        <f t="shared" si="9"/>
        <v>0</v>
      </c>
      <c r="BO176" s="89">
        <f t="shared" si="10"/>
        <v>0</v>
      </c>
      <c r="BP176" s="89">
        <f t="shared" si="27"/>
        <v>0</v>
      </c>
      <c r="BQ176" s="89">
        <f t="shared" si="2"/>
        <v>20</v>
      </c>
      <c r="BR176" s="89">
        <f t="shared" si="11"/>
        <v>0</v>
      </c>
      <c r="BS176" s="89">
        <f t="shared" si="12"/>
        <v>0</v>
      </c>
      <c r="BT176" s="89">
        <f t="shared" si="28"/>
        <v>0</v>
      </c>
      <c r="BU176" s="89">
        <f t="shared" si="3"/>
        <v>13.75</v>
      </c>
      <c r="BV176" s="89">
        <f t="shared" si="13"/>
        <v>0</v>
      </c>
      <c r="BW176" s="89">
        <f t="shared" si="14"/>
        <v>0</v>
      </c>
      <c r="BX176" s="89">
        <f t="shared" si="29"/>
        <v>0</v>
      </c>
      <c r="BY176" s="89" t="e">
        <f t="shared" si="4"/>
        <v>#REF!</v>
      </c>
      <c r="BZ176" s="89" t="e">
        <f t="shared" si="15"/>
        <v>#REF!</v>
      </c>
      <c r="CA176" s="89" t="e">
        <f t="shared" si="16"/>
        <v>#REF!</v>
      </c>
      <c r="CB176" s="89" t="e">
        <f t="shared" si="30"/>
        <v>#REF!</v>
      </c>
    </row>
    <row r="177" spans="1:80" ht="14.25" hidden="1" customHeight="1">
      <c r="A177" s="93">
        <v>170</v>
      </c>
      <c r="B177" s="82"/>
      <c r="C177" s="82"/>
      <c r="D177" s="100"/>
      <c r="E177" s="82"/>
      <c r="F177" s="82"/>
      <c r="G177" s="82"/>
      <c r="H177" s="82"/>
      <c r="I177" s="96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97">
        <f t="shared" si="21"/>
        <v>0</v>
      </c>
      <c r="W177" s="184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32"/>
      <c r="AW177" s="126">
        <f t="shared" si="31"/>
        <v>0</v>
      </c>
      <c r="AX177" s="39"/>
      <c r="AY177" s="39"/>
      <c r="AZ177" s="97">
        <f t="shared" si="44"/>
        <v>0</v>
      </c>
      <c r="BA177" s="98"/>
      <c r="BB177" s="97">
        <f t="shared" si="45"/>
        <v>0</v>
      </c>
      <c r="BC177" s="90"/>
      <c r="BD177" s="89">
        <f t="shared" si="43"/>
        <v>0</v>
      </c>
      <c r="BE177" s="98"/>
      <c r="BF177" s="89">
        <f t="shared" si="46"/>
        <v>0</v>
      </c>
      <c r="BG177" s="99"/>
      <c r="BH177" s="66"/>
      <c r="BI177" s="89">
        <f t="shared" si="0"/>
        <v>38.75</v>
      </c>
      <c r="BJ177" s="89">
        <f t="shared" si="7"/>
        <v>0</v>
      </c>
      <c r="BK177" s="89">
        <f t="shared" si="32"/>
        <v>0</v>
      </c>
      <c r="BL177" s="89">
        <f t="shared" si="26"/>
        <v>0</v>
      </c>
      <c r="BM177" s="89">
        <f t="shared" si="1"/>
        <v>27.5</v>
      </c>
      <c r="BN177" s="89">
        <f t="shared" si="9"/>
        <v>0</v>
      </c>
      <c r="BO177" s="89">
        <f t="shared" si="10"/>
        <v>0</v>
      </c>
      <c r="BP177" s="89">
        <f t="shared" si="27"/>
        <v>0</v>
      </c>
      <c r="BQ177" s="89">
        <f t="shared" si="2"/>
        <v>20</v>
      </c>
      <c r="BR177" s="89">
        <f t="shared" si="11"/>
        <v>0</v>
      </c>
      <c r="BS177" s="89">
        <f t="shared" si="12"/>
        <v>0</v>
      </c>
      <c r="BT177" s="89">
        <f t="shared" si="28"/>
        <v>0</v>
      </c>
      <c r="BU177" s="89">
        <f t="shared" si="3"/>
        <v>13.75</v>
      </c>
      <c r="BV177" s="89">
        <f t="shared" si="13"/>
        <v>0</v>
      </c>
      <c r="BW177" s="89">
        <f t="shared" si="14"/>
        <v>0</v>
      </c>
      <c r="BX177" s="89">
        <f t="shared" si="29"/>
        <v>0</v>
      </c>
      <c r="BY177" s="89" t="e">
        <f t="shared" si="4"/>
        <v>#REF!</v>
      </c>
      <c r="BZ177" s="89" t="e">
        <f t="shared" si="15"/>
        <v>#REF!</v>
      </c>
      <c r="CA177" s="89" t="e">
        <f t="shared" si="16"/>
        <v>#REF!</v>
      </c>
      <c r="CB177" s="89" t="e">
        <f t="shared" si="30"/>
        <v>#REF!</v>
      </c>
    </row>
    <row r="178" spans="1:80" ht="14.25" hidden="1" customHeight="1">
      <c r="A178" s="93">
        <v>171</v>
      </c>
      <c r="B178" s="82"/>
      <c r="C178" s="82"/>
      <c r="D178" s="100"/>
      <c r="E178" s="82"/>
      <c r="F178" s="82"/>
      <c r="G178" s="82"/>
      <c r="H178" s="82"/>
      <c r="I178" s="96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97">
        <f t="shared" si="21"/>
        <v>0</v>
      </c>
      <c r="W178" s="184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32"/>
      <c r="AW178" s="126">
        <f t="shared" si="31"/>
        <v>0</v>
      </c>
      <c r="AX178" s="39"/>
      <c r="AY178" s="39"/>
      <c r="AZ178" s="97">
        <f t="shared" si="44"/>
        <v>0</v>
      </c>
      <c r="BA178" s="98"/>
      <c r="BB178" s="97">
        <f t="shared" si="45"/>
        <v>0</v>
      </c>
      <c r="BC178" s="90"/>
      <c r="BD178" s="89">
        <f t="shared" si="43"/>
        <v>0</v>
      </c>
      <c r="BE178" s="98"/>
      <c r="BF178" s="89">
        <f t="shared" si="46"/>
        <v>0</v>
      </c>
      <c r="BG178" s="99"/>
      <c r="BH178" s="66"/>
      <c r="BI178" s="89">
        <f t="shared" si="0"/>
        <v>38.75</v>
      </c>
      <c r="BJ178" s="89">
        <f t="shared" si="7"/>
        <v>0</v>
      </c>
      <c r="BK178" s="89">
        <f t="shared" si="32"/>
        <v>0</v>
      </c>
      <c r="BL178" s="89">
        <f t="shared" si="26"/>
        <v>0</v>
      </c>
      <c r="BM178" s="89">
        <f t="shared" si="1"/>
        <v>27.5</v>
      </c>
      <c r="BN178" s="89">
        <f t="shared" si="9"/>
        <v>0</v>
      </c>
      <c r="BO178" s="89">
        <f t="shared" si="10"/>
        <v>0</v>
      </c>
      <c r="BP178" s="89">
        <f t="shared" si="27"/>
        <v>0</v>
      </c>
      <c r="BQ178" s="89">
        <f t="shared" si="2"/>
        <v>20</v>
      </c>
      <c r="BR178" s="89">
        <f t="shared" si="11"/>
        <v>0</v>
      </c>
      <c r="BS178" s="89">
        <f t="shared" si="12"/>
        <v>0</v>
      </c>
      <c r="BT178" s="89">
        <f t="shared" si="28"/>
        <v>0</v>
      </c>
      <c r="BU178" s="89">
        <f t="shared" si="3"/>
        <v>13.75</v>
      </c>
      <c r="BV178" s="89">
        <f t="shared" si="13"/>
        <v>0</v>
      </c>
      <c r="BW178" s="89">
        <f t="shared" si="14"/>
        <v>0</v>
      </c>
      <c r="BX178" s="89">
        <f t="shared" si="29"/>
        <v>0</v>
      </c>
      <c r="BY178" s="89" t="e">
        <f t="shared" si="4"/>
        <v>#REF!</v>
      </c>
      <c r="BZ178" s="89" t="e">
        <f t="shared" si="15"/>
        <v>#REF!</v>
      </c>
      <c r="CA178" s="89" t="e">
        <f t="shared" si="16"/>
        <v>#REF!</v>
      </c>
      <c r="CB178" s="89" t="e">
        <f t="shared" si="30"/>
        <v>#REF!</v>
      </c>
    </row>
    <row r="179" spans="1:80" ht="14.25" hidden="1" customHeight="1">
      <c r="A179" s="93">
        <v>172</v>
      </c>
      <c r="B179" s="82"/>
      <c r="C179" s="82"/>
      <c r="D179" s="100"/>
      <c r="E179" s="82"/>
      <c r="F179" s="82"/>
      <c r="G179" s="82"/>
      <c r="H179" s="82"/>
      <c r="I179" s="96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97">
        <f t="shared" si="21"/>
        <v>0</v>
      </c>
      <c r="W179" s="184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32"/>
      <c r="AW179" s="126">
        <f t="shared" si="31"/>
        <v>0</v>
      </c>
      <c r="AX179" s="39"/>
      <c r="AY179" s="39"/>
      <c r="AZ179" s="97">
        <f t="shared" si="44"/>
        <v>0</v>
      </c>
      <c r="BA179" s="98"/>
      <c r="BB179" s="97">
        <f t="shared" si="45"/>
        <v>0</v>
      </c>
      <c r="BC179" s="90"/>
      <c r="BD179" s="89">
        <f t="shared" si="43"/>
        <v>0</v>
      </c>
      <c r="BE179" s="98"/>
      <c r="BF179" s="89">
        <f t="shared" si="46"/>
        <v>0</v>
      </c>
      <c r="BG179" s="99"/>
      <c r="BH179" s="66"/>
      <c r="BI179" s="89">
        <f t="shared" si="0"/>
        <v>38.75</v>
      </c>
      <c r="BJ179" s="89">
        <f t="shared" si="7"/>
        <v>0</v>
      </c>
      <c r="BK179" s="89">
        <f t="shared" si="32"/>
        <v>0</v>
      </c>
      <c r="BL179" s="89">
        <f t="shared" si="26"/>
        <v>0</v>
      </c>
      <c r="BM179" s="89">
        <f t="shared" si="1"/>
        <v>27.5</v>
      </c>
      <c r="BN179" s="89">
        <f t="shared" si="9"/>
        <v>0</v>
      </c>
      <c r="BO179" s="89">
        <f t="shared" si="10"/>
        <v>0</v>
      </c>
      <c r="BP179" s="89">
        <f t="shared" si="27"/>
        <v>0</v>
      </c>
      <c r="BQ179" s="89">
        <f t="shared" si="2"/>
        <v>20</v>
      </c>
      <c r="BR179" s="89">
        <f t="shared" si="11"/>
        <v>0</v>
      </c>
      <c r="BS179" s="89">
        <f t="shared" si="12"/>
        <v>0</v>
      </c>
      <c r="BT179" s="89">
        <f t="shared" si="28"/>
        <v>0</v>
      </c>
      <c r="BU179" s="89">
        <f t="shared" si="3"/>
        <v>13.75</v>
      </c>
      <c r="BV179" s="89">
        <f t="shared" si="13"/>
        <v>0</v>
      </c>
      <c r="BW179" s="89">
        <f t="shared" si="14"/>
        <v>0</v>
      </c>
      <c r="BX179" s="89">
        <f t="shared" si="29"/>
        <v>0</v>
      </c>
      <c r="BY179" s="89" t="e">
        <f t="shared" si="4"/>
        <v>#REF!</v>
      </c>
      <c r="BZ179" s="89" t="e">
        <f t="shared" si="15"/>
        <v>#REF!</v>
      </c>
      <c r="CA179" s="89" t="e">
        <f t="shared" si="16"/>
        <v>#REF!</v>
      </c>
      <c r="CB179" s="89" t="e">
        <f t="shared" si="30"/>
        <v>#REF!</v>
      </c>
    </row>
    <row r="180" spans="1:80" ht="14.25" hidden="1" customHeight="1">
      <c r="A180" s="93">
        <v>173</v>
      </c>
      <c r="B180" s="82"/>
      <c r="C180" s="82"/>
      <c r="D180" s="100"/>
      <c r="E180" s="82"/>
      <c r="F180" s="82"/>
      <c r="G180" s="82"/>
      <c r="H180" s="82"/>
      <c r="I180" s="96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97">
        <f t="shared" si="21"/>
        <v>0</v>
      </c>
      <c r="W180" s="184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32"/>
      <c r="AW180" s="126">
        <f t="shared" si="31"/>
        <v>0</v>
      </c>
      <c r="AX180" s="39"/>
      <c r="AY180" s="39"/>
      <c r="AZ180" s="97">
        <f t="shared" si="44"/>
        <v>0</v>
      </c>
      <c r="BA180" s="98"/>
      <c r="BB180" s="97">
        <f t="shared" si="45"/>
        <v>0</v>
      </c>
      <c r="BC180" s="90"/>
      <c r="BD180" s="89">
        <f t="shared" si="43"/>
        <v>0</v>
      </c>
      <c r="BE180" s="98"/>
      <c r="BF180" s="89">
        <f t="shared" si="46"/>
        <v>0</v>
      </c>
      <c r="BG180" s="99"/>
      <c r="BH180" s="66"/>
      <c r="BI180" s="89">
        <f t="shared" si="0"/>
        <v>38.75</v>
      </c>
      <c r="BJ180" s="89">
        <f t="shared" si="7"/>
        <v>0</v>
      </c>
      <c r="BK180" s="89">
        <f t="shared" si="32"/>
        <v>0</v>
      </c>
      <c r="BL180" s="89">
        <f t="shared" si="26"/>
        <v>0</v>
      </c>
      <c r="BM180" s="89">
        <f t="shared" si="1"/>
        <v>27.5</v>
      </c>
      <c r="BN180" s="89">
        <f t="shared" si="9"/>
        <v>0</v>
      </c>
      <c r="BO180" s="89">
        <f t="shared" si="10"/>
        <v>0</v>
      </c>
      <c r="BP180" s="89">
        <f t="shared" si="27"/>
        <v>0</v>
      </c>
      <c r="BQ180" s="89">
        <f t="shared" si="2"/>
        <v>20</v>
      </c>
      <c r="BR180" s="89">
        <f t="shared" si="11"/>
        <v>0</v>
      </c>
      <c r="BS180" s="89">
        <f t="shared" si="12"/>
        <v>0</v>
      </c>
      <c r="BT180" s="89">
        <f t="shared" si="28"/>
        <v>0</v>
      </c>
      <c r="BU180" s="89">
        <f t="shared" si="3"/>
        <v>13.75</v>
      </c>
      <c r="BV180" s="89">
        <f t="shared" si="13"/>
        <v>0</v>
      </c>
      <c r="BW180" s="89">
        <f t="shared" si="14"/>
        <v>0</v>
      </c>
      <c r="BX180" s="89">
        <f t="shared" si="29"/>
        <v>0</v>
      </c>
      <c r="BY180" s="89" t="e">
        <f t="shared" si="4"/>
        <v>#REF!</v>
      </c>
      <c r="BZ180" s="89" t="e">
        <f t="shared" si="15"/>
        <v>#REF!</v>
      </c>
      <c r="CA180" s="89" t="e">
        <f t="shared" si="16"/>
        <v>#REF!</v>
      </c>
      <c r="CB180" s="89" t="e">
        <f t="shared" si="30"/>
        <v>#REF!</v>
      </c>
    </row>
    <row r="181" spans="1:80" ht="14.25" hidden="1" customHeight="1">
      <c r="A181" s="93">
        <v>174</v>
      </c>
      <c r="B181" s="82"/>
      <c r="C181" s="82"/>
      <c r="D181" s="100"/>
      <c r="E181" s="82"/>
      <c r="F181" s="82"/>
      <c r="G181" s="82"/>
      <c r="H181" s="82"/>
      <c r="I181" s="96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97">
        <f t="shared" si="21"/>
        <v>0</v>
      </c>
      <c r="W181" s="184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32"/>
      <c r="AW181" s="126">
        <f t="shared" si="31"/>
        <v>0</v>
      </c>
      <c r="AX181" s="39"/>
      <c r="AY181" s="39"/>
      <c r="AZ181" s="97">
        <f t="shared" si="44"/>
        <v>0</v>
      </c>
      <c r="BA181" s="98"/>
      <c r="BB181" s="97">
        <f t="shared" si="45"/>
        <v>0</v>
      </c>
      <c r="BC181" s="90"/>
      <c r="BD181" s="89">
        <f t="shared" si="43"/>
        <v>0</v>
      </c>
      <c r="BE181" s="98"/>
      <c r="BF181" s="89">
        <f t="shared" si="46"/>
        <v>0</v>
      </c>
      <c r="BG181" s="99"/>
      <c r="BH181" s="66"/>
      <c r="BI181" s="89">
        <f t="shared" si="0"/>
        <v>38.75</v>
      </c>
      <c r="BJ181" s="89">
        <f t="shared" si="7"/>
        <v>0</v>
      </c>
      <c r="BK181" s="89">
        <f t="shared" si="32"/>
        <v>0</v>
      </c>
      <c r="BL181" s="89">
        <f t="shared" si="26"/>
        <v>0</v>
      </c>
      <c r="BM181" s="89">
        <f t="shared" si="1"/>
        <v>27.5</v>
      </c>
      <c r="BN181" s="89">
        <f t="shared" si="9"/>
        <v>0</v>
      </c>
      <c r="BO181" s="89">
        <f t="shared" si="10"/>
        <v>0</v>
      </c>
      <c r="BP181" s="89">
        <f t="shared" si="27"/>
        <v>0</v>
      </c>
      <c r="BQ181" s="89">
        <f t="shared" si="2"/>
        <v>20</v>
      </c>
      <c r="BR181" s="89">
        <f t="shared" si="11"/>
        <v>0</v>
      </c>
      <c r="BS181" s="89">
        <f t="shared" si="12"/>
        <v>0</v>
      </c>
      <c r="BT181" s="89">
        <f t="shared" si="28"/>
        <v>0</v>
      </c>
      <c r="BU181" s="89">
        <f t="shared" si="3"/>
        <v>13.75</v>
      </c>
      <c r="BV181" s="89">
        <f t="shared" si="13"/>
        <v>0</v>
      </c>
      <c r="BW181" s="89">
        <f t="shared" si="14"/>
        <v>0</v>
      </c>
      <c r="BX181" s="89">
        <f t="shared" si="29"/>
        <v>0</v>
      </c>
      <c r="BY181" s="89" t="e">
        <f t="shared" si="4"/>
        <v>#REF!</v>
      </c>
      <c r="BZ181" s="89" t="e">
        <f t="shared" si="15"/>
        <v>#REF!</v>
      </c>
      <c r="CA181" s="89" t="e">
        <f t="shared" si="16"/>
        <v>#REF!</v>
      </c>
      <c r="CB181" s="89" t="e">
        <f t="shared" si="30"/>
        <v>#REF!</v>
      </c>
    </row>
    <row r="182" spans="1:80" ht="14.25" hidden="1" customHeight="1">
      <c r="A182" s="93">
        <v>175</v>
      </c>
      <c r="B182" s="82"/>
      <c r="C182" s="82"/>
      <c r="D182" s="100"/>
      <c r="E182" s="82"/>
      <c r="F182" s="82"/>
      <c r="G182" s="82"/>
      <c r="H182" s="82"/>
      <c r="I182" s="96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97">
        <f t="shared" si="21"/>
        <v>0</v>
      </c>
      <c r="W182" s="184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32"/>
      <c r="AW182" s="126">
        <f t="shared" si="31"/>
        <v>0</v>
      </c>
      <c r="AX182" s="39"/>
      <c r="AY182" s="39"/>
      <c r="AZ182" s="97">
        <f t="shared" si="44"/>
        <v>0</v>
      </c>
      <c r="BA182" s="98"/>
      <c r="BB182" s="97">
        <f t="shared" si="45"/>
        <v>0</v>
      </c>
      <c r="BC182" s="90"/>
      <c r="BD182" s="89">
        <f t="shared" si="43"/>
        <v>0</v>
      </c>
      <c r="BE182" s="98"/>
      <c r="BF182" s="89">
        <f t="shared" si="46"/>
        <v>0</v>
      </c>
      <c r="BG182" s="99"/>
      <c r="BH182" s="66"/>
      <c r="BI182" s="89">
        <f t="shared" si="0"/>
        <v>38.75</v>
      </c>
      <c r="BJ182" s="89">
        <f t="shared" si="7"/>
        <v>0</v>
      </c>
      <c r="BK182" s="89">
        <f t="shared" si="32"/>
        <v>0</v>
      </c>
      <c r="BL182" s="89">
        <f t="shared" si="26"/>
        <v>0</v>
      </c>
      <c r="BM182" s="89">
        <f t="shared" si="1"/>
        <v>27.5</v>
      </c>
      <c r="BN182" s="89">
        <f t="shared" si="9"/>
        <v>0</v>
      </c>
      <c r="BO182" s="89">
        <f t="shared" si="10"/>
        <v>0</v>
      </c>
      <c r="BP182" s="89">
        <f t="shared" si="27"/>
        <v>0</v>
      </c>
      <c r="BQ182" s="89">
        <f t="shared" si="2"/>
        <v>20</v>
      </c>
      <c r="BR182" s="89">
        <f t="shared" si="11"/>
        <v>0</v>
      </c>
      <c r="BS182" s="89">
        <f t="shared" si="12"/>
        <v>0</v>
      </c>
      <c r="BT182" s="89">
        <f t="shared" si="28"/>
        <v>0</v>
      </c>
      <c r="BU182" s="89">
        <f t="shared" si="3"/>
        <v>13.75</v>
      </c>
      <c r="BV182" s="89">
        <f t="shared" si="13"/>
        <v>0</v>
      </c>
      <c r="BW182" s="89">
        <f t="shared" si="14"/>
        <v>0</v>
      </c>
      <c r="BX182" s="89">
        <f t="shared" si="29"/>
        <v>0</v>
      </c>
      <c r="BY182" s="89" t="e">
        <f t="shared" si="4"/>
        <v>#REF!</v>
      </c>
      <c r="BZ182" s="89" t="e">
        <f t="shared" si="15"/>
        <v>#REF!</v>
      </c>
      <c r="CA182" s="89" t="e">
        <f t="shared" si="16"/>
        <v>#REF!</v>
      </c>
      <c r="CB182" s="89" t="e">
        <f t="shared" si="30"/>
        <v>#REF!</v>
      </c>
    </row>
    <row r="183" spans="1:80" ht="14.25" hidden="1" customHeight="1">
      <c r="A183" s="93">
        <v>176</v>
      </c>
      <c r="B183" s="82"/>
      <c r="C183" s="82"/>
      <c r="D183" s="100"/>
      <c r="E183" s="82"/>
      <c r="F183" s="82"/>
      <c r="G183" s="82"/>
      <c r="H183" s="82"/>
      <c r="I183" s="96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97">
        <f t="shared" si="21"/>
        <v>0</v>
      </c>
      <c r="W183" s="184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32"/>
      <c r="AW183" s="126">
        <f t="shared" si="31"/>
        <v>0</v>
      </c>
      <c r="AX183" s="39"/>
      <c r="AY183" s="39"/>
      <c r="AZ183" s="97">
        <f t="shared" si="44"/>
        <v>0</v>
      </c>
      <c r="BA183" s="98"/>
      <c r="BB183" s="97">
        <f t="shared" si="45"/>
        <v>0</v>
      </c>
      <c r="BC183" s="90"/>
      <c r="BD183" s="89">
        <f t="shared" si="43"/>
        <v>0</v>
      </c>
      <c r="BE183" s="98"/>
      <c r="BF183" s="89">
        <f t="shared" si="46"/>
        <v>0</v>
      </c>
      <c r="BG183" s="99"/>
      <c r="BH183" s="66"/>
      <c r="BI183" s="89">
        <f t="shared" si="0"/>
        <v>38.75</v>
      </c>
      <c r="BJ183" s="89">
        <f t="shared" si="7"/>
        <v>0</v>
      </c>
      <c r="BK183" s="89">
        <f t="shared" si="32"/>
        <v>0</v>
      </c>
      <c r="BL183" s="89">
        <f t="shared" si="26"/>
        <v>0</v>
      </c>
      <c r="BM183" s="89">
        <f t="shared" si="1"/>
        <v>27.5</v>
      </c>
      <c r="BN183" s="89">
        <f t="shared" si="9"/>
        <v>0</v>
      </c>
      <c r="BO183" s="89">
        <f t="shared" si="10"/>
        <v>0</v>
      </c>
      <c r="BP183" s="89">
        <f t="shared" si="27"/>
        <v>0</v>
      </c>
      <c r="BQ183" s="89">
        <f t="shared" si="2"/>
        <v>20</v>
      </c>
      <c r="BR183" s="89">
        <f t="shared" si="11"/>
        <v>0</v>
      </c>
      <c r="BS183" s="89">
        <f t="shared" si="12"/>
        <v>0</v>
      </c>
      <c r="BT183" s="89">
        <f t="shared" si="28"/>
        <v>0</v>
      </c>
      <c r="BU183" s="89">
        <f t="shared" si="3"/>
        <v>13.75</v>
      </c>
      <c r="BV183" s="89">
        <f t="shared" si="13"/>
        <v>0</v>
      </c>
      <c r="BW183" s="89">
        <f t="shared" si="14"/>
        <v>0</v>
      </c>
      <c r="BX183" s="89">
        <f t="shared" si="29"/>
        <v>0</v>
      </c>
      <c r="BY183" s="89" t="e">
        <f t="shared" si="4"/>
        <v>#REF!</v>
      </c>
      <c r="BZ183" s="89" t="e">
        <f t="shared" si="15"/>
        <v>#REF!</v>
      </c>
      <c r="CA183" s="89" t="e">
        <f t="shared" si="16"/>
        <v>#REF!</v>
      </c>
      <c r="CB183" s="89" t="e">
        <f t="shared" si="30"/>
        <v>#REF!</v>
      </c>
    </row>
    <row r="184" spans="1:80" ht="14.25" hidden="1" customHeight="1">
      <c r="A184" s="93">
        <v>177</v>
      </c>
      <c r="B184" s="82"/>
      <c r="C184" s="82"/>
      <c r="D184" s="100"/>
      <c r="E184" s="82"/>
      <c r="F184" s="82"/>
      <c r="G184" s="82"/>
      <c r="H184" s="82"/>
      <c r="I184" s="96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97">
        <f t="shared" si="21"/>
        <v>0</v>
      </c>
      <c r="W184" s="184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32"/>
      <c r="AW184" s="126">
        <f t="shared" si="31"/>
        <v>0</v>
      </c>
      <c r="AX184" s="39"/>
      <c r="AY184" s="39"/>
      <c r="AZ184" s="97">
        <f t="shared" si="44"/>
        <v>0</v>
      </c>
      <c r="BA184" s="98"/>
      <c r="BB184" s="97">
        <f t="shared" si="45"/>
        <v>0</v>
      </c>
      <c r="BC184" s="90"/>
      <c r="BD184" s="89">
        <f t="shared" si="43"/>
        <v>0</v>
      </c>
      <c r="BE184" s="98"/>
      <c r="BF184" s="89">
        <f t="shared" si="46"/>
        <v>0</v>
      </c>
      <c r="BG184" s="99"/>
      <c r="BH184" s="66"/>
      <c r="BI184" s="89">
        <f t="shared" si="0"/>
        <v>38.75</v>
      </c>
      <c r="BJ184" s="89">
        <f t="shared" si="7"/>
        <v>0</v>
      </c>
      <c r="BK184" s="89">
        <f t="shared" si="32"/>
        <v>0</v>
      </c>
      <c r="BL184" s="89">
        <f t="shared" si="26"/>
        <v>0</v>
      </c>
      <c r="BM184" s="89">
        <f t="shared" si="1"/>
        <v>27.5</v>
      </c>
      <c r="BN184" s="89">
        <f t="shared" si="9"/>
        <v>0</v>
      </c>
      <c r="BO184" s="89">
        <f t="shared" si="10"/>
        <v>0</v>
      </c>
      <c r="BP184" s="89">
        <f t="shared" si="27"/>
        <v>0</v>
      </c>
      <c r="BQ184" s="89">
        <f t="shared" si="2"/>
        <v>20</v>
      </c>
      <c r="BR184" s="89">
        <f t="shared" si="11"/>
        <v>0</v>
      </c>
      <c r="BS184" s="89">
        <f t="shared" si="12"/>
        <v>0</v>
      </c>
      <c r="BT184" s="89">
        <f t="shared" si="28"/>
        <v>0</v>
      </c>
      <c r="BU184" s="89">
        <f t="shared" si="3"/>
        <v>13.75</v>
      </c>
      <c r="BV184" s="89">
        <f t="shared" si="13"/>
        <v>0</v>
      </c>
      <c r="BW184" s="89">
        <f t="shared" si="14"/>
        <v>0</v>
      </c>
      <c r="BX184" s="89">
        <f t="shared" si="29"/>
        <v>0</v>
      </c>
      <c r="BY184" s="89" t="e">
        <f t="shared" si="4"/>
        <v>#REF!</v>
      </c>
      <c r="BZ184" s="89" t="e">
        <f t="shared" si="15"/>
        <v>#REF!</v>
      </c>
      <c r="CA184" s="89" t="e">
        <f t="shared" si="16"/>
        <v>#REF!</v>
      </c>
      <c r="CB184" s="89" t="e">
        <f t="shared" si="30"/>
        <v>#REF!</v>
      </c>
    </row>
    <row r="185" spans="1:80" ht="14.25" hidden="1" customHeight="1">
      <c r="A185" s="93">
        <v>178</v>
      </c>
      <c r="B185" s="82"/>
      <c r="C185" s="82"/>
      <c r="D185" s="100"/>
      <c r="E185" s="82"/>
      <c r="F185" s="82"/>
      <c r="G185" s="82"/>
      <c r="H185" s="82"/>
      <c r="I185" s="96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97">
        <f t="shared" si="21"/>
        <v>0</v>
      </c>
      <c r="W185" s="184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32"/>
      <c r="AW185" s="126">
        <f t="shared" si="31"/>
        <v>0</v>
      </c>
      <c r="AX185" s="39"/>
      <c r="AY185" s="39"/>
      <c r="AZ185" s="97">
        <f t="shared" si="44"/>
        <v>0</v>
      </c>
      <c r="BA185" s="98"/>
      <c r="BB185" s="97">
        <f t="shared" si="45"/>
        <v>0</v>
      </c>
      <c r="BC185" s="90"/>
      <c r="BD185" s="89">
        <f t="shared" si="43"/>
        <v>0</v>
      </c>
      <c r="BE185" s="98"/>
      <c r="BF185" s="89">
        <f t="shared" si="46"/>
        <v>0</v>
      </c>
      <c r="BG185" s="99"/>
      <c r="BH185" s="66"/>
      <c r="BI185" s="89">
        <f t="shared" si="0"/>
        <v>38.75</v>
      </c>
      <c r="BJ185" s="89">
        <f t="shared" si="7"/>
        <v>0</v>
      </c>
      <c r="BK185" s="89">
        <f t="shared" si="32"/>
        <v>0</v>
      </c>
      <c r="BL185" s="89">
        <f t="shared" si="26"/>
        <v>0</v>
      </c>
      <c r="BM185" s="89">
        <f t="shared" si="1"/>
        <v>27.5</v>
      </c>
      <c r="BN185" s="89">
        <f t="shared" si="9"/>
        <v>0</v>
      </c>
      <c r="BO185" s="89">
        <f t="shared" si="10"/>
        <v>0</v>
      </c>
      <c r="BP185" s="89">
        <f t="shared" si="27"/>
        <v>0</v>
      </c>
      <c r="BQ185" s="89">
        <f t="shared" si="2"/>
        <v>20</v>
      </c>
      <c r="BR185" s="89">
        <f t="shared" si="11"/>
        <v>0</v>
      </c>
      <c r="BS185" s="89">
        <f t="shared" si="12"/>
        <v>0</v>
      </c>
      <c r="BT185" s="89">
        <f t="shared" si="28"/>
        <v>0</v>
      </c>
      <c r="BU185" s="89">
        <f t="shared" si="3"/>
        <v>13.75</v>
      </c>
      <c r="BV185" s="89">
        <f t="shared" si="13"/>
        <v>0</v>
      </c>
      <c r="BW185" s="89">
        <f t="shared" si="14"/>
        <v>0</v>
      </c>
      <c r="BX185" s="89">
        <f t="shared" si="29"/>
        <v>0</v>
      </c>
      <c r="BY185" s="89" t="e">
        <f t="shared" si="4"/>
        <v>#REF!</v>
      </c>
      <c r="BZ185" s="89" t="e">
        <f t="shared" si="15"/>
        <v>#REF!</v>
      </c>
      <c r="CA185" s="89" t="e">
        <f t="shared" si="16"/>
        <v>#REF!</v>
      </c>
      <c r="CB185" s="89" t="e">
        <f t="shared" si="30"/>
        <v>#REF!</v>
      </c>
    </row>
    <row r="186" spans="1:80" ht="14.25" hidden="1" customHeight="1">
      <c r="A186" s="93">
        <v>179</v>
      </c>
      <c r="B186" s="82"/>
      <c r="C186" s="82"/>
      <c r="D186" s="100"/>
      <c r="E186" s="82"/>
      <c r="F186" s="82"/>
      <c r="G186" s="82"/>
      <c r="H186" s="82"/>
      <c r="I186" s="96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97">
        <f t="shared" si="21"/>
        <v>0</v>
      </c>
      <c r="W186" s="184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32"/>
      <c r="AW186" s="126">
        <f t="shared" si="31"/>
        <v>0</v>
      </c>
      <c r="AX186" s="39"/>
      <c r="AY186" s="39"/>
      <c r="AZ186" s="97">
        <f t="shared" si="44"/>
        <v>0</v>
      </c>
      <c r="BA186" s="98"/>
      <c r="BB186" s="97">
        <f t="shared" si="45"/>
        <v>0</v>
      </c>
      <c r="BC186" s="90"/>
      <c r="BD186" s="89">
        <f t="shared" si="43"/>
        <v>0</v>
      </c>
      <c r="BE186" s="98"/>
      <c r="BF186" s="89">
        <f t="shared" si="46"/>
        <v>0</v>
      </c>
      <c r="BG186" s="99"/>
      <c r="BH186" s="66"/>
      <c r="BI186" s="89">
        <f t="shared" si="0"/>
        <v>38.75</v>
      </c>
      <c r="BJ186" s="89">
        <f t="shared" si="7"/>
        <v>0</v>
      </c>
      <c r="BK186" s="89">
        <f t="shared" si="32"/>
        <v>0</v>
      </c>
      <c r="BL186" s="89">
        <f t="shared" si="26"/>
        <v>0</v>
      </c>
      <c r="BM186" s="89">
        <f t="shared" si="1"/>
        <v>27.5</v>
      </c>
      <c r="BN186" s="89">
        <f t="shared" si="9"/>
        <v>0</v>
      </c>
      <c r="BO186" s="89">
        <f t="shared" si="10"/>
        <v>0</v>
      </c>
      <c r="BP186" s="89">
        <f t="shared" si="27"/>
        <v>0</v>
      </c>
      <c r="BQ186" s="89">
        <f t="shared" si="2"/>
        <v>20</v>
      </c>
      <c r="BR186" s="89">
        <f t="shared" si="11"/>
        <v>0</v>
      </c>
      <c r="BS186" s="89">
        <f t="shared" si="12"/>
        <v>0</v>
      </c>
      <c r="BT186" s="89">
        <f t="shared" si="28"/>
        <v>0</v>
      </c>
      <c r="BU186" s="89">
        <f t="shared" si="3"/>
        <v>13.75</v>
      </c>
      <c r="BV186" s="89">
        <f t="shared" si="13"/>
        <v>0</v>
      </c>
      <c r="BW186" s="89">
        <f t="shared" si="14"/>
        <v>0</v>
      </c>
      <c r="BX186" s="89">
        <f t="shared" si="29"/>
        <v>0</v>
      </c>
      <c r="BY186" s="89" t="e">
        <f t="shared" si="4"/>
        <v>#REF!</v>
      </c>
      <c r="BZ186" s="89" t="e">
        <f t="shared" si="15"/>
        <v>#REF!</v>
      </c>
      <c r="CA186" s="89" t="e">
        <f t="shared" si="16"/>
        <v>#REF!</v>
      </c>
      <c r="CB186" s="89" t="e">
        <f t="shared" si="30"/>
        <v>#REF!</v>
      </c>
    </row>
    <row r="187" spans="1:80" ht="14.25" hidden="1" customHeight="1">
      <c r="A187" s="93">
        <v>180</v>
      </c>
      <c r="B187" s="82"/>
      <c r="C187" s="82"/>
      <c r="D187" s="100"/>
      <c r="E187" s="82"/>
      <c r="F187" s="82"/>
      <c r="G187" s="82"/>
      <c r="H187" s="82"/>
      <c r="I187" s="96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97">
        <f t="shared" si="21"/>
        <v>0</v>
      </c>
      <c r="W187" s="184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32"/>
      <c r="AW187" s="126">
        <f t="shared" si="31"/>
        <v>0</v>
      </c>
      <c r="AX187" s="39"/>
      <c r="AY187" s="39"/>
      <c r="AZ187" s="97">
        <f t="shared" si="44"/>
        <v>0</v>
      </c>
      <c r="BA187" s="98"/>
      <c r="BB187" s="97">
        <f t="shared" si="45"/>
        <v>0</v>
      </c>
      <c r="BC187" s="90"/>
      <c r="BD187" s="89">
        <f t="shared" si="43"/>
        <v>0</v>
      </c>
      <c r="BE187" s="98"/>
      <c r="BF187" s="89">
        <f t="shared" si="46"/>
        <v>0</v>
      </c>
      <c r="BG187" s="99"/>
      <c r="BH187" s="66"/>
      <c r="BI187" s="89">
        <f t="shared" si="0"/>
        <v>38.75</v>
      </c>
      <c r="BJ187" s="89">
        <f t="shared" si="7"/>
        <v>0</v>
      </c>
      <c r="BK187" s="89">
        <f t="shared" si="32"/>
        <v>0</v>
      </c>
      <c r="BL187" s="89">
        <f t="shared" si="26"/>
        <v>0</v>
      </c>
      <c r="BM187" s="89">
        <f t="shared" si="1"/>
        <v>27.5</v>
      </c>
      <c r="BN187" s="89">
        <f t="shared" si="9"/>
        <v>0</v>
      </c>
      <c r="BO187" s="89">
        <f t="shared" si="10"/>
        <v>0</v>
      </c>
      <c r="BP187" s="89">
        <f t="shared" si="27"/>
        <v>0</v>
      </c>
      <c r="BQ187" s="89">
        <f t="shared" si="2"/>
        <v>20</v>
      </c>
      <c r="BR187" s="89">
        <f t="shared" si="11"/>
        <v>0</v>
      </c>
      <c r="BS187" s="89">
        <f t="shared" si="12"/>
        <v>0</v>
      </c>
      <c r="BT187" s="89">
        <f t="shared" si="28"/>
        <v>0</v>
      </c>
      <c r="BU187" s="89">
        <f t="shared" si="3"/>
        <v>13.75</v>
      </c>
      <c r="BV187" s="89">
        <f t="shared" si="13"/>
        <v>0</v>
      </c>
      <c r="BW187" s="89">
        <f t="shared" si="14"/>
        <v>0</v>
      </c>
      <c r="BX187" s="89">
        <f t="shared" si="29"/>
        <v>0</v>
      </c>
      <c r="BY187" s="89" t="e">
        <f t="shared" si="4"/>
        <v>#REF!</v>
      </c>
      <c r="BZ187" s="89" t="e">
        <f t="shared" si="15"/>
        <v>#REF!</v>
      </c>
      <c r="CA187" s="89" t="e">
        <f t="shared" si="16"/>
        <v>#REF!</v>
      </c>
      <c r="CB187" s="89" t="e">
        <f t="shared" si="30"/>
        <v>#REF!</v>
      </c>
    </row>
    <row r="188" spans="1:80" ht="14.25" hidden="1" customHeight="1">
      <c r="A188" s="93">
        <v>181</v>
      </c>
      <c r="B188" s="82"/>
      <c r="C188" s="82"/>
      <c r="D188" s="100"/>
      <c r="E188" s="82"/>
      <c r="F188" s="82"/>
      <c r="G188" s="82"/>
      <c r="H188" s="82"/>
      <c r="I188" s="96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97">
        <f t="shared" si="21"/>
        <v>0</v>
      </c>
      <c r="W188" s="184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32"/>
      <c r="AW188" s="126">
        <f t="shared" si="31"/>
        <v>0</v>
      </c>
      <c r="AX188" s="39"/>
      <c r="AY188" s="39"/>
      <c r="AZ188" s="97">
        <f t="shared" si="44"/>
        <v>0</v>
      </c>
      <c r="BA188" s="98"/>
      <c r="BB188" s="97">
        <f t="shared" si="45"/>
        <v>0</v>
      </c>
      <c r="BC188" s="90"/>
      <c r="BD188" s="89">
        <f t="shared" si="43"/>
        <v>0</v>
      </c>
      <c r="BE188" s="98"/>
      <c r="BF188" s="89">
        <f t="shared" si="46"/>
        <v>0</v>
      </c>
      <c r="BG188" s="99"/>
      <c r="BH188" s="66"/>
      <c r="BI188" s="89">
        <f t="shared" si="0"/>
        <v>38.75</v>
      </c>
      <c r="BJ188" s="89">
        <f t="shared" si="7"/>
        <v>0</v>
      </c>
      <c r="BK188" s="89">
        <f t="shared" si="32"/>
        <v>0</v>
      </c>
      <c r="BL188" s="89">
        <f t="shared" si="26"/>
        <v>0</v>
      </c>
      <c r="BM188" s="89">
        <f t="shared" si="1"/>
        <v>27.5</v>
      </c>
      <c r="BN188" s="89">
        <f t="shared" si="9"/>
        <v>0</v>
      </c>
      <c r="BO188" s="89">
        <f t="shared" si="10"/>
        <v>0</v>
      </c>
      <c r="BP188" s="89">
        <f t="shared" si="27"/>
        <v>0</v>
      </c>
      <c r="BQ188" s="89">
        <f t="shared" si="2"/>
        <v>20</v>
      </c>
      <c r="BR188" s="89">
        <f t="shared" si="11"/>
        <v>0</v>
      </c>
      <c r="BS188" s="89">
        <f t="shared" si="12"/>
        <v>0</v>
      </c>
      <c r="BT188" s="89">
        <f t="shared" si="28"/>
        <v>0</v>
      </c>
      <c r="BU188" s="89">
        <f t="shared" si="3"/>
        <v>13.75</v>
      </c>
      <c r="BV188" s="89">
        <f t="shared" si="13"/>
        <v>0</v>
      </c>
      <c r="BW188" s="89">
        <f t="shared" si="14"/>
        <v>0</v>
      </c>
      <c r="BX188" s="89">
        <f t="shared" si="29"/>
        <v>0</v>
      </c>
      <c r="BY188" s="89" t="e">
        <f t="shared" si="4"/>
        <v>#REF!</v>
      </c>
      <c r="BZ188" s="89" t="e">
        <f t="shared" si="15"/>
        <v>#REF!</v>
      </c>
      <c r="CA188" s="89" t="e">
        <f t="shared" si="16"/>
        <v>#REF!</v>
      </c>
      <c r="CB188" s="89" t="e">
        <f t="shared" si="30"/>
        <v>#REF!</v>
      </c>
    </row>
    <row r="189" spans="1:80" ht="14.25" hidden="1" customHeight="1">
      <c r="A189" s="93">
        <v>182</v>
      </c>
      <c r="B189" s="82"/>
      <c r="C189" s="82"/>
      <c r="D189" s="100"/>
      <c r="E189" s="82"/>
      <c r="F189" s="82"/>
      <c r="G189" s="82"/>
      <c r="H189" s="82"/>
      <c r="I189" s="96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97">
        <f t="shared" si="21"/>
        <v>0</v>
      </c>
      <c r="W189" s="184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32"/>
      <c r="AW189" s="126">
        <f t="shared" si="31"/>
        <v>0</v>
      </c>
      <c r="AX189" s="39"/>
      <c r="AY189" s="39"/>
      <c r="AZ189" s="97">
        <f t="shared" si="44"/>
        <v>0</v>
      </c>
      <c r="BA189" s="98"/>
      <c r="BB189" s="97">
        <f t="shared" si="45"/>
        <v>0</v>
      </c>
      <c r="BC189" s="90"/>
      <c r="BD189" s="89">
        <f t="shared" si="43"/>
        <v>0</v>
      </c>
      <c r="BE189" s="98"/>
      <c r="BF189" s="89">
        <f t="shared" si="46"/>
        <v>0</v>
      </c>
      <c r="BG189" s="99"/>
      <c r="BH189" s="66"/>
      <c r="BI189" s="89">
        <f t="shared" si="0"/>
        <v>38.75</v>
      </c>
      <c r="BJ189" s="89">
        <f t="shared" si="7"/>
        <v>0</v>
      </c>
      <c r="BK189" s="89">
        <f t="shared" si="32"/>
        <v>0</v>
      </c>
      <c r="BL189" s="89">
        <f t="shared" si="26"/>
        <v>0</v>
      </c>
      <c r="BM189" s="89">
        <f t="shared" si="1"/>
        <v>27.5</v>
      </c>
      <c r="BN189" s="89">
        <f t="shared" si="9"/>
        <v>0</v>
      </c>
      <c r="BO189" s="89">
        <f t="shared" si="10"/>
        <v>0</v>
      </c>
      <c r="BP189" s="89">
        <f t="shared" si="27"/>
        <v>0</v>
      </c>
      <c r="BQ189" s="89">
        <f t="shared" si="2"/>
        <v>20</v>
      </c>
      <c r="BR189" s="89">
        <f t="shared" si="11"/>
        <v>0</v>
      </c>
      <c r="BS189" s="89">
        <f t="shared" si="12"/>
        <v>0</v>
      </c>
      <c r="BT189" s="89">
        <f t="shared" si="28"/>
        <v>0</v>
      </c>
      <c r="BU189" s="89">
        <f t="shared" si="3"/>
        <v>13.75</v>
      </c>
      <c r="BV189" s="89">
        <f t="shared" si="13"/>
        <v>0</v>
      </c>
      <c r="BW189" s="89">
        <f t="shared" si="14"/>
        <v>0</v>
      </c>
      <c r="BX189" s="89">
        <f t="shared" si="29"/>
        <v>0</v>
      </c>
      <c r="BY189" s="89" t="e">
        <f t="shared" si="4"/>
        <v>#REF!</v>
      </c>
      <c r="BZ189" s="89" t="e">
        <f t="shared" si="15"/>
        <v>#REF!</v>
      </c>
      <c r="CA189" s="89" t="e">
        <f t="shared" si="16"/>
        <v>#REF!</v>
      </c>
      <c r="CB189" s="89" t="e">
        <f t="shared" si="30"/>
        <v>#REF!</v>
      </c>
    </row>
    <row r="190" spans="1:80" ht="14.25" hidden="1" customHeight="1">
      <c r="A190" s="93">
        <v>183</v>
      </c>
      <c r="B190" s="82"/>
      <c r="C190" s="82"/>
      <c r="D190" s="100"/>
      <c r="E190" s="82"/>
      <c r="F190" s="82"/>
      <c r="G190" s="82"/>
      <c r="H190" s="82"/>
      <c r="I190" s="96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97">
        <f t="shared" si="21"/>
        <v>0</v>
      </c>
      <c r="W190" s="184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32"/>
      <c r="AW190" s="126">
        <f t="shared" si="31"/>
        <v>0</v>
      </c>
      <c r="AX190" s="39"/>
      <c r="AY190" s="39"/>
      <c r="AZ190" s="97">
        <f t="shared" si="44"/>
        <v>0</v>
      </c>
      <c r="BA190" s="98"/>
      <c r="BB190" s="97">
        <f t="shared" si="45"/>
        <v>0</v>
      </c>
      <c r="BC190" s="90"/>
      <c r="BD190" s="89">
        <f t="shared" si="43"/>
        <v>0</v>
      </c>
      <c r="BE190" s="98"/>
      <c r="BF190" s="89">
        <f t="shared" si="46"/>
        <v>0</v>
      </c>
      <c r="BG190" s="99"/>
      <c r="BH190" s="66"/>
      <c r="BI190" s="89">
        <f t="shared" si="0"/>
        <v>38.75</v>
      </c>
      <c r="BJ190" s="89">
        <f t="shared" si="7"/>
        <v>0</v>
      </c>
      <c r="BK190" s="89">
        <f t="shared" si="32"/>
        <v>0</v>
      </c>
      <c r="BL190" s="89">
        <f t="shared" si="26"/>
        <v>0</v>
      </c>
      <c r="BM190" s="89">
        <f t="shared" si="1"/>
        <v>27.5</v>
      </c>
      <c r="BN190" s="89">
        <f t="shared" si="9"/>
        <v>0</v>
      </c>
      <c r="BO190" s="89">
        <f t="shared" si="10"/>
        <v>0</v>
      </c>
      <c r="BP190" s="89">
        <f t="shared" si="27"/>
        <v>0</v>
      </c>
      <c r="BQ190" s="89">
        <f t="shared" si="2"/>
        <v>20</v>
      </c>
      <c r="BR190" s="89">
        <f t="shared" si="11"/>
        <v>0</v>
      </c>
      <c r="BS190" s="89">
        <f t="shared" si="12"/>
        <v>0</v>
      </c>
      <c r="BT190" s="89">
        <f t="shared" si="28"/>
        <v>0</v>
      </c>
      <c r="BU190" s="89">
        <f t="shared" si="3"/>
        <v>13.75</v>
      </c>
      <c r="BV190" s="89">
        <f t="shared" si="13"/>
        <v>0</v>
      </c>
      <c r="BW190" s="89">
        <f t="shared" si="14"/>
        <v>0</v>
      </c>
      <c r="BX190" s="89">
        <f t="shared" si="29"/>
        <v>0</v>
      </c>
      <c r="BY190" s="89" t="e">
        <f t="shared" si="4"/>
        <v>#REF!</v>
      </c>
      <c r="BZ190" s="89" t="e">
        <f t="shared" si="15"/>
        <v>#REF!</v>
      </c>
      <c r="CA190" s="89" t="e">
        <f t="shared" si="16"/>
        <v>#REF!</v>
      </c>
      <c r="CB190" s="89" t="e">
        <f t="shared" si="30"/>
        <v>#REF!</v>
      </c>
    </row>
    <row r="191" spans="1:80" ht="14.25" hidden="1" customHeight="1">
      <c r="A191" s="93">
        <v>184</v>
      </c>
      <c r="B191" s="82"/>
      <c r="C191" s="82"/>
      <c r="D191" s="100"/>
      <c r="E191" s="82"/>
      <c r="F191" s="82"/>
      <c r="G191" s="82"/>
      <c r="H191" s="82"/>
      <c r="I191" s="96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97">
        <f t="shared" si="21"/>
        <v>0</v>
      </c>
      <c r="W191" s="184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32"/>
      <c r="AW191" s="126">
        <f t="shared" si="31"/>
        <v>0</v>
      </c>
      <c r="AX191" s="39"/>
      <c r="AY191" s="39"/>
      <c r="AZ191" s="97">
        <f t="shared" si="44"/>
        <v>0</v>
      </c>
      <c r="BA191" s="98"/>
      <c r="BB191" s="97">
        <f t="shared" si="45"/>
        <v>0</v>
      </c>
      <c r="BC191" s="90"/>
      <c r="BD191" s="89">
        <f t="shared" si="43"/>
        <v>0</v>
      </c>
      <c r="BE191" s="98"/>
      <c r="BF191" s="89">
        <f t="shared" si="46"/>
        <v>0</v>
      </c>
      <c r="BG191" s="99"/>
      <c r="BH191" s="66"/>
      <c r="BI191" s="89">
        <f t="shared" si="0"/>
        <v>38.75</v>
      </c>
      <c r="BJ191" s="89">
        <f t="shared" si="7"/>
        <v>0</v>
      </c>
      <c r="BK191" s="89">
        <f t="shared" si="32"/>
        <v>0</v>
      </c>
      <c r="BL191" s="89">
        <f t="shared" si="26"/>
        <v>0</v>
      </c>
      <c r="BM191" s="89">
        <f t="shared" si="1"/>
        <v>27.5</v>
      </c>
      <c r="BN191" s="89">
        <f t="shared" si="9"/>
        <v>0</v>
      </c>
      <c r="BO191" s="89">
        <f t="shared" si="10"/>
        <v>0</v>
      </c>
      <c r="BP191" s="89">
        <f t="shared" si="27"/>
        <v>0</v>
      </c>
      <c r="BQ191" s="89">
        <f t="shared" si="2"/>
        <v>20</v>
      </c>
      <c r="BR191" s="89">
        <f t="shared" si="11"/>
        <v>0</v>
      </c>
      <c r="BS191" s="89">
        <f t="shared" si="12"/>
        <v>0</v>
      </c>
      <c r="BT191" s="89">
        <f t="shared" si="28"/>
        <v>0</v>
      </c>
      <c r="BU191" s="89">
        <f t="shared" si="3"/>
        <v>13.75</v>
      </c>
      <c r="BV191" s="89">
        <f t="shared" si="13"/>
        <v>0</v>
      </c>
      <c r="BW191" s="89">
        <f t="shared" si="14"/>
        <v>0</v>
      </c>
      <c r="BX191" s="89">
        <f t="shared" si="29"/>
        <v>0</v>
      </c>
      <c r="BY191" s="89" t="e">
        <f t="shared" si="4"/>
        <v>#REF!</v>
      </c>
      <c r="BZ191" s="89" t="e">
        <f t="shared" si="15"/>
        <v>#REF!</v>
      </c>
      <c r="CA191" s="89" t="e">
        <f t="shared" si="16"/>
        <v>#REF!</v>
      </c>
      <c r="CB191" s="89" t="e">
        <f t="shared" si="30"/>
        <v>#REF!</v>
      </c>
    </row>
    <row r="192" spans="1:80" ht="14.25" hidden="1" customHeight="1">
      <c r="A192" s="93">
        <v>185</v>
      </c>
      <c r="B192" s="82"/>
      <c r="C192" s="82"/>
      <c r="D192" s="100"/>
      <c r="E192" s="82"/>
      <c r="F192" s="82"/>
      <c r="G192" s="82"/>
      <c r="H192" s="82"/>
      <c r="I192" s="96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97">
        <f t="shared" si="21"/>
        <v>0</v>
      </c>
      <c r="W192" s="184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32"/>
      <c r="AW192" s="126">
        <f t="shared" si="31"/>
        <v>0</v>
      </c>
      <c r="AX192" s="39"/>
      <c r="AY192" s="39"/>
      <c r="AZ192" s="97">
        <f t="shared" si="44"/>
        <v>0</v>
      </c>
      <c r="BA192" s="98"/>
      <c r="BB192" s="97">
        <f t="shared" si="45"/>
        <v>0</v>
      </c>
      <c r="BC192" s="90"/>
      <c r="BD192" s="89">
        <f t="shared" si="43"/>
        <v>0</v>
      </c>
      <c r="BE192" s="98"/>
      <c r="BF192" s="89">
        <f t="shared" si="46"/>
        <v>0</v>
      </c>
      <c r="BG192" s="99"/>
      <c r="BH192" s="66"/>
      <c r="BI192" s="89">
        <f t="shared" si="0"/>
        <v>38.75</v>
      </c>
      <c r="BJ192" s="89">
        <f t="shared" si="7"/>
        <v>0</v>
      </c>
      <c r="BK192" s="89">
        <f t="shared" si="32"/>
        <v>0</v>
      </c>
      <c r="BL192" s="89">
        <f t="shared" si="26"/>
        <v>0</v>
      </c>
      <c r="BM192" s="89">
        <f t="shared" si="1"/>
        <v>27.5</v>
      </c>
      <c r="BN192" s="89">
        <f t="shared" si="9"/>
        <v>0</v>
      </c>
      <c r="BO192" s="89">
        <f t="shared" si="10"/>
        <v>0</v>
      </c>
      <c r="BP192" s="89">
        <f t="shared" si="27"/>
        <v>0</v>
      </c>
      <c r="BQ192" s="89">
        <f t="shared" si="2"/>
        <v>20</v>
      </c>
      <c r="BR192" s="89">
        <f t="shared" si="11"/>
        <v>0</v>
      </c>
      <c r="BS192" s="89">
        <f t="shared" si="12"/>
        <v>0</v>
      </c>
      <c r="BT192" s="89">
        <f t="shared" si="28"/>
        <v>0</v>
      </c>
      <c r="BU192" s="89">
        <f t="shared" si="3"/>
        <v>13.75</v>
      </c>
      <c r="BV192" s="89">
        <f t="shared" si="13"/>
        <v>0</v>
      </c>
      <c r="BW192" s="89">
        <f t="shared" si="14"/>
        <v>0</v>
      </c>
      <c r="BX192" s="89">
        <f t="shared" si="29"/>
        <v>0</v>
      </c>
      <c r="BY192" s="89" t="e">
        <f t="shared" si="4"/>
        <v>#REF!</v>
      </c>
      <c r="BZ192" s="89" t="e">
        <f t="shared" si="15"/>
        <v>#REF!</v>
      </c>
      <c r="CA192" s="89" t="e">
        <f t="shared" si="16"/>
        <v>#REF!</v>
      </c>
      <c r="CB192" s="89" t="e">
        <f t="shared" si="30"/>
        <v>#REF!</v>
      </c>
    </row>
    <row r="193" spans="1:80" ht="14.25" hidden="1" customHeight="1">
      <c r="A193" s="93">
        <v>186</v>
      </c>
      <c r="B193" s="82"/>
      <c r="C193" s="82"/>
      <c r="D193" s="100"/>
      <c r="E193" s="82"/>
      <c r="F193" s="82"/>
      <c r="G193" s="82"/>
      <c r="H193" s="82"/>
      <c r="I193" s="96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97">
        <f t="shared" si="21"/>
        <v>0</v>
      </c>
      <c r="W193" s="184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32"/>
      <c r="AW193" s="126">
        <f t="shared" si="31"/>
        <v>0</v>
      </c>
      <c r="AX193" s="39"/>
      <c r="AY193" s="39"/>
      <c r="AZ193" s="97">
        <f t="shared" si="44"/>
        <v>0</v>
      </c>
      <c r="BA193" s="98"/>
      <c r="BB193" s="97">
        <f t="shared" si="45"/>
        <v>0</v>
      </c>
      <c r="BC193" s="90"/>
      <c r="BD193" s="89">
        <f t="shared" si="43"/>
        <v>0</v>
      </c>
      <c r="BE193" s="98"/>
      <c r="BF193" s="89">
        <f t="shared" si="46"/>
        <v>0</v>
      </c>
      <c r="BG193" s="99"/>
      <c r="BH193" s="66"/>
      <c r="BI193" s="89">
        <f t="shared" si="0"/>
        <v>38.75</v>
      </c>
      <c r="BJ193" s="89">
        <f t="shared" si="7"/>
        <v>0</v>
      </c>
      <c r="BK193" s="89">
        <f t="shared" si="32"/>
        <v>0</v>
      </c>
      <c r="BL193" s="89">
        <f t="shared" si="26"/>
        <v>0</v>
      </c>
      <c r="BM193" s="89">
        <f t="shared" si="1"/>
        <v>27.5</v>
      </c>
      <c r="BN193" s="89">
        <f t="shared" si="9"/>
        <v>0</v>
      </c>
      <c r="BO193" s="89">
        <f t="shared" si="10"/>
        <v>0</v>
      </c>
      <c r="BP193" s="89">
        <f t="shared" si="27"/>
        <v>0</v>
      </c>
      <c r="BQ193" s="89">
        <f t="shared" si="2"/>
        <v>20</v>
      </c>
      <c r="BR193" s="89">
        <f t="shared" si="11"/>
        <v>0</v>
      </c>
      <c r="BS193" s="89">
        <f t="shared" si="12"/>
        <v>0</v>
      </c>
      <c r="BT193" s="89">
        <f t="shared" si="28"/>
        <v>0</v>
      </c>
      <c r="BU193" s="89">
        <f t="shared" si="3"/>
        <v>13.75</v>
      </c>
      <c r="BV193" s="89">
        <f t="shared" si="13"/>
        <v>0</v>
      </c>
      <c r="BW193" s="89">
        <f t="shared" si="14"/>
        <v>0</v>
      </c>
      <c r="BX193" s="89">
        <f t="shared" si="29"/>
        <v>0</v>
      </c>
      <c r="BY193" s="89" t="e">
        <f t="shared" si="4"/>
        <v>#REF!</v>
      </c>
      <c r="BZ193" s="89" t="e">
        <f t="shared" si="15"/>
        <v>#REF!</v>
      </c>
      <c r="CA193" s="89" t="e">
        <f t="shared" si="16"/>
        <v>#REF!</v>
      </c>
      <c r="CB193" s="89" t="e">
        <f t="shared" si="30"/>
        <v>#REF!</v>
      </c>
    </row>
    <row r="194" spans="1:80" ht="14.25" hidden="1" customHeight="1">
      <c r="A194" s="93">
        <v>187</v>
      </c>
      <c r="B194" s="82"/>
      <c r="C194" s="82"/>
      <c r="D194" s="100"/>
      <c r="E194" s="82"/>
      <c r="F194" s="82"/>
      <c r="G194" s="82"/>
      <c r="H194" s="82"/>
      <c r="I194" s="96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97">
        <f t="shared" si="21"/>
        <v>0</v>
      </c>
      <c r="W194" s="184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32"/>
      <c r="AW194" s="126">
        <f t="shared" si="31"/>
        <v>0</v>
      </c>
      <c r="AX194" s="39"/>
      <c r="AY194" s="39"/>
      <c r="AZ194" s="97">
        <f t="shared" si="44"/>
        <v>0</v>
      </c>
      <c r="BA194" s="98"/>
      <c r="BB194" s="97">
        <f t="shared" si="45"/>
        <v>0</v>
      </c>
      <c r="BC194" s="90"/>
      <c r="BD194" s="89">
        <f t="shared" si="43"/>
        <v>0</v>
      </c>
      <c r="BE194" s="98"/>
      <c r="BF194" s="89">
        <f t="shared" si="46"/>
        <v>0</v>
      </c>
      <c r="BG194" s="99"/>
      <c r="BH194" s="66"/>
      <c r="BI194" s="89">
        <f t="shared" si="0"/>
        <v>38.75</v>
      </c>
      <c r="BJ194" s="89">
        <f t="shared" si="7"/>
        <v>0</v>
      </c>
      <c r="BK194" s="89">
        <f t="shared" si="32"/>
        <v>0</v>
      </c>
      <c r="BL194" s="89">
        <f t="shared" si="26"/>
        <v>0</v>
      </c>
      <c r="BM194" s="89">
        <f t="shared" si="1"/>
        <v>27.5</v>
      </c>
      <c r="BN194" s="89">
        <f t="shared" si="9"/>
        <v>0</v>
      </c>
      <c r="BO194" s="89">
        <f t="shared" si="10"/>
        <v>0</v>
      </c>
      <c r="BP194" s="89">
        <f t="shared" si="27"/>
        <v>0</v>
      </c>
      <c r="BQ194" s="89">
        <f t="shared" si="2"/>
        <v>20</v>
      </c>
      <c r="BR194" s="89">
        <f t="shared" si="11"/>
        <v>0</v>
      </c>
      <c r="BS194" s="89">
        <f t="shared" si="12"/>
        <v>0</v>
      </c>
      <c r="BT194" s="89">
        <f t="shared" si="28"/>
        <v>0</v>
      </c>
      <c r="BU194" s="89">
        <f t="shared" si="3"/>
        <v>13.75</v>
      </c>
      <c r="BV194" s="89">
        <f t="shared" si="13"/>
        <v>0</v>
      </c>
      <c r="BW194" s="89">
        <f t="shared" si="14"/>
        <v>0</v>
      </c>
      <c r="BX194" s="89">
        <f t="shared" si="29"/>
        <v>0</v>
      </c>
      <c r="BY194" s="89" t="e">
        <f t="shared" si="4"/>
        <v>#REF!</v>
      </c>
      <c r="BZ194" s="89" t="e">
        <f t="shared" si="15"/>
        <v>#REF!</v>
      </c>
      <c r="CA194" s="89" t="e">
        <f t="shared" si="16"/>
        <v>#REF!</v>
      </c>
      <c r="CB194" s="89" t="e">
        <f t="shared" si="30"/>
        <v>#REF!</v>
      </c>
    </row>
    <row r="195" spans="1:80" ht="14.25" hidden="1" customHeight="1">
      <c r="A195" s="93">
        <v>188</v>
      </c>
      <c r="B195" s="82"/>
      <c r="C195" s="82"/>
      <c r="D195" s="100"/>
      <c r="E195" s="82"/>
      <c r="F195" s="82"/>
      <c r="G195" s="82"/>
      <c r="H195" s="82"/>
      <c r="I195" s="96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97">
        <f t="shared" si="21"/>
        <v>0</v>
      </c>
      <c r="W195" s="184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32"/>
      <c r="AW195" s="126">
        <f t="shared" si="31"/>
        <v>0</v>
      </c>
      <c r="AX195" s="39"/>
      <c r="AY195" s="39"/>
      <c r="AZ195" s="97">
        <f t="shared" ref="AZ195:AZ221" si="47">SUM(D195:H195)</f>
        <v>0</v>
      </c>
      <c r="BA195" s="98"/>
      <c r="BB195" s="97">
        <f t="shared" ref="BB195:BB221" si="48">SUM(I195:O195)</f>
        <v>0</v>
      </c>
      <c r="BC195" s="90"/>
      <c r="BD195" s="89">
        <f t="shared" si="43"/>
        <v>0</v>
      </c>
      <c r="BE195" s="98"/>
      <c r="BF195" s="89">
        <f t="shared" ref="BF195:BF221" si="49">SUM(T195:U195)</f>
        <v>0</v>
      </c>
      <c r="BG195" s="99"/>
      <c r="BH195" s="66"/>
      <c r="BI195" s="89">
        <f t="shared" si="0"/>
        <v>38.75</v>
      </c>
      <c r="BJ195" s="89">
        <f t="shared" si="7"/>
        <v>0</v>
      </c>
      <c r="BK195" s="89">
        <f t="shared" si="32"/>
        <v>0</v>
      </c>
      <c r="BL195" s="89">
        <f t="shared" si="26"/>
        <v>0</v>
      </c>
      <c r="BM195" s="89">
        <f t="shared" si="1"/>
        <v>27.5</v>
      </c>
      <c r="BN195" s="89">
        <f t="shared" si="9"/>
        <v>0</v>
      </c>
      <c r="BO195" s="89">
        <f t="shared" si="10"/>
        <v>0</v>
      </c>
      <c r="BP195" s="89">
        <f t="shared" si="27"/>
        <v>0</v>
      </c>
      <c r="BQ195" s="89">
        <f t="shared" si="2"/>
        <v>20</v>
      </c>
      <c r="BR195" s="89">
        <f t="shared" si="11"/>
        <v>0</v>
      </c>
      <c r="BS195" s="89">
        <f t="shared" si="12"/>
        <v>0</v>
      </c>
      <c r="BT195" s="89">
        <f t="shared" si="28"/>
        <v>0</v>
      </c>
      <c r="BU195" s="89">
        <f t="shared" si="3"/>
        <v>13.75</v>
      </c>
      <c r="BV195" s="89">
        <f t="shared" si="13"/>
        <v>0</v>
      </c>
      <c r="BW195" s="89">
        <f t="shared" si="14"/>
        <v>0</v>
      </c>
      <c r="BX195" s="89">
        <f t="shared" si="29"/>
        <v>0</v>
      </c>
      <c r="BY195" s="89" t="e">
        <f t="shared" si="4"/>
        <v>#REF!</v>
      </c>
      <c r="BZ195" s="89" t="e">
        <f t="shared" si="15"/>
        <v>#REF!</v>
      </c>
      <c r="CA195" s="89" t="e">
        <f t="shared" si="16"/>
        <v>#REF!</v>
      </c>
      <c r="CB195" s="89" t="e">
        <f t="shared" si="30"/>
        <v>#REF!</v>
      </c>
    </row>
    <row r="196" spans="1:80" ht="14.25" hidden="1" customHeight="1">
      <c r="A196" s="93">
        <v>189</v>
      </c>
      <c r="B196" s="82"/>
      <c r="C196" s="82"/>
      <c r="D196" s="100"/>
      <c r="E196" s="82"/>
      <c r="F196" s="82"/>
      <c r="G196" s="82"/>
      <c r="H196" s="82"/>
      <c r="I196" s="96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97">
        <f t="shared" si="21"/>
        <v>0</v>
      </c>
      <c r="W196" s="184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32"/>
      <c r="AW196" s="126">
        <f t="shared" si="31"/>
        <v>0</v>
      </c>
      <c r="AX196" s="39"/>
      <c r="AY196" s="39"/>
      <c r="AZ196" s="97">
        <f t="shared" si="47"/>
        <v>0</v>
      </c>
      <c r="BA196" s="98"/>
      <c r="BB196" s="97">
        <f t="shared" si="48"/>
        <v>0</v>
      </c>
      <c r="BC196" s="90"/>
      <c r="BD196" s="89">
        <f t="shared" si="43"/>
        <v>0</v>
      </c>
      <c r="BE196" s="98"/>
      <c r="BF196" s="89">
        <f t="shared" si="49"/>
        <v>0</v>
      </c>
      <c r="BG196" s="99"/>
      <c r="BH196" s="66"/>
      <c r="BI196" s="89">
        <f t="shared" si="0"/>
        <v>38.75</v>
      </c>
      <c r="BJ196" s="89">
        <f t="shared" si="7"/>
        <v>0</v>
      </c>
      <c r="BK196" s="89">
        <f t="shared" si="32"/>
        <v>0</v>
      </c>
      <c r="BL196" s="89">
        <f t="shared" si="26"/>
        <v>0</v>
      </c>
      <c r="BM196" s="89">
        <f t="shared" si="1"/>
        <v>27.5</v>
      </c>
      <c r="BN196" s="89">
        <f t="shared" si="9"/>
        <v>0</v>
      </c>
      <c r="BO196" s="89">
        <f t="shared" si="10"/>
        <v>0</v>
      </c>
      <c r="BP196" s="89">
        <f t="shared" si="27"/>
        <v>0</v>
      </c>
      <c r="BQ196" s="89">
        <f t="shared" si="2"/>
        <v>20</v>
      </c>
      <c r="BR196" s="89">
        <f t="shared" si="11"/>
        <v>0</v>
      </c>
      <c r="BS196" s="89">
        <f t="shared" si="12"/>
        <v>0</v>
      </c>
      <c r="BT196" s="89">
        <f t="shared" si="28"/>
        <v>0</v>
      </c>
      <c r="BU196" s="89">
        <f t="shared" si="3"/>
        <v>13.75</v>
      </c>
      <c r="BV196" s="89">
        <f t="shared" si="13"/>
        <v>0</v>
      </c>
      <c r="BW196" s="89">
        <f t="shared" si="14"/>
        <v>0</v>
      </c>
      <c r="BX196" s="89">
        <f t="shared" si="29"/>
        <v>0</v>
      </c>
      <c r="BY196" s="89" t="e">
        <f t="shared" si="4"/>
        <v>#REF!</v>
      </c>
      <c r="BZ196" s="89" t="e">
        <f t="shared" si="15"/>
        <v>#REF!</v>
      </c>
      <c r="CA196" s="89" t="e">
        <f t="shared" si="16"/>
        <v>#REF!</v>
      </c>
      <c r="CB196" s="89" t="e">
        <f t="shared" si="30"/>
        <v>#REF!</v>
      </c>
    </row>
    <row r="197" spans="1:80" ht="14.25" hidden="1" customHeight="1">
      <c r="A197" s="93">
        <v>190</v>
      </c>
      <c r="B197" s="82"/>
      <c r="C197" s="82"/>
      <c r="D197" s="100"/>
      <c r="E197" s="82"/>
      <c r="F197" s="82"/>
      <c r="G197" s="82"/>
      <c r="H197" s="82"/>
      <c r="I197" s="96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97">
        <f t="shared" si="21"/>
        <v>0</v>
      </c>
      <c r="W197" s="184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32"/>
      <c r="AW197" s="126">
        <f t="shared" si="31"/>
        <v>0</v>
      </c>
      <c r="AX197" s="39"/>
      <c r="AY197" s="39"/>
      <c r="AZ197" s="97">
        <f t="shared" si="47"/>
        <v>0</v>
      </c>
      <c r="BA197" s="98"/>
      <c r="BB197" s="97">
        <f t="shared" si="48"/>
        <v>0</v>
      </c>
      <c r="BC197" s="90"/>
      <c r="BD197" s="89">
        <f t="shared" si="43"/>
        <v>0</v>
      </c>
      <c r="BE197" s="98"/>
      <c r="BF197" s="89">
        <f t="shared" si="49"/>
        <v>0</v>
      </c>
      <c r="BG197" s="99"/>
      <c r="BH197" s="66"/>
      <c r="BI197" s="89">
        <f t="shared" si="0"/>
        <v>38.75</v>
      </c>
      <c r="BJ197" s="89">
        <f t="shared" si="7"/>
        <v>0</v>
      </c>
      <c r="BK197" s="89">
        <f t="shared" si="32"/>
        <v>0</v>
      </c>
      <c r="BL197" s="89">
        <f t="shared" si="26"/>
        <v>0</v>
      </c>
      <c r="BM197" s="89">
        <f t="shared" si="1"/>
        <v>27.5</v>
      </c>
      <c r="BN197" s="89">
        <f t="shared" si="9"/>
        <v>0</v>
      </c>
      <c r="BO197" s="89">
        <f t="shared" si="10"/>
        <v>0</v>
      </c>
      <c r="BP197" s="89">
        <f t="shared" si="27"/>
        <v>0</v>
      </c>
      <c r="BQ197" s="89">
        <f t="shared" si="2"/>
        <v>20</v>
      </c>
      <c r="BR197" s="89">
        <f t="shared" si="11"/>
        <v>0</v>
      </c>
      <c r="BS197" s="89">
        <f t="shared" si="12"/>
        <v>0</v>
      </c>
      <c r="BT197" s="89">
        <f t="shared" si="28"/>
        <v>0</v>
      </c>
      <c r="BU197" s="89">
        <f t="shared" si="3"/>
        <v>13.75</v>
      </c>
      <c r="BV197" s="89">
        <f t="shared" si="13"/>
        <v>0</v>
      </c>
      <c r="BW197" s="89">
        <f t="shared" si="14"/>
        <v>0</v>
      </c>
      <c r="BX197" s="89">
        <f t="shared" si="29"/>
        <v>0</v>
      </c>
      <c r="BY197" s="89" t="e">
        <f t="shared" si="4"/>
        <v>#REF!</v>
      </c>
      <c r="BZ197" s="89" t="e">
        <f t="shared" si="15"/>
        <v>#REF!</v>
      </c>
      <c r="CA197" s="89" t="e">
        <f t="shared" si="16"/>
        <v>#REF!</v>
      </c>
      <c r="CB197" s="89" t="e">
        <f t="shared" si="30"/>
        <v>#REF!</v>
      </c>
    </row>
    <row r="198" spans="1:80" ht="14.25" hidden="1" customHeight="1">
      <c r="A198" s="93">
        <v>191</v>
      </c>
      <c r="B198" s="82"/>
      <c r="C198" s="82"/>
      <c r="D198" s="100"/>
      <c r="E198" s="82"/>
      <c r="F198" s="82"/>
      <c r="G198" s="82"/>
      <c r="H198" s="82"/>
      <c r="I198" s="96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97">
        <f t="shared" si="21"/>
        <v>0</v>
      </c>
      <c r="W198" s="184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32"/>
      <c r="AW198" s="126">
        <f t="shared" si="31"/>
        <v>0</v>
      </c>
      <c r="AX198" s="39"/>
      <c r="AY198" s="39"/>
      <c r="AZ198" s="97">
        <f t="shared" si="47"/>
        <v>0</v>
      </c>
      <c r="BA198" s="98"/>
      <c r="BB198" s="97">
        <f t="shared" si="48"/>
        <v>0</v>
      </c>
      <c r="BC198" s="90"/>
      <c r="BD198" s="89">
        <f t="shared" si="43"/>
        <v>0</v>
      </c>
      <c r="BE198" s="98"/>
      <c r="BF198" s="89">
        <f t="shared" si="49"/>
        <v>0</v>
      </c>
      <c r="BG198" s="99"/>
      <c r="BH198" s="66"/>
      <c r="BI198" s="89">
        <f t="shared" si="0"/>
        <v>38.75</v>
      </c>
      <c r="BJ198" s="89">
        <f t="shared" si="7"/>
        <v>0</v>
      </c>
      <c r="BK198" s="89">
        <f t="shared" si="32"/>
        <v>0</v>
      </c>
      <c r="BL198" s="89">
        <f t="shared" si="26"/>
        <v>0</v>
      </c>
      <c r="BM198" s="89">
        <f t="shared" si="1"/>
        <v>27.5</v>
      </c>
      <c r="BN198" s="89">
        <f t="shared" si="9"/>
        <v>0</v>
      </c>
      <c r="BO198" s="89">
        <f t="shared" si="10"/>
        <v>0</v>
      </c>
      <c r="BP198" s="89">
        <f t="shared" si="27"/>
        <v>0</v>
      </c>
      <c r="BQ198" s="89">
        <f t="shared" si="2"/>
        <v>20</v>
      </c>
      <c r="BR198" s="89">
        <f t="shared" si="11"/>
        <v>0</v>
      </c>
      <c r="BS198" s="89">
        <f t="shared" si="12"/>
        <v>0</v>
      </c>
      <c r="BT198" s="89">
        <f t="shared" si="28"/>
        <v>0</v>
      </c>
      <c r="BU198" s="89">
        <f t="shared" si="3"/>
        <v>13.75</v>
      </c>
      <c r="BV198" s="89">
        <f t="shared" si="13"/>
        <v>0</v>
      </c>
      <c r="BW198" s="89">
        <f t="shared" si="14"/>
        <v>0</v>
      </c>
      <c r="BX198" s="89">
        <f t="shared" si="29"/>
        <v>0</v>
      </c>
      <c r="BY198" s="89" t="e">
        <f t="shared" si="4"/>
        <v>#REF!</v>
      </c>
      <c r="BZ198" s="89" t="e">
        <f t="shared" si="15"/>
        <v>#REF!</v>
      </c>
      <c r="CA198" s="89" t="e">
        <f t="shared" si="16"/>
        <v>#REF!</v>
      </c>
      <c r="CB198" s="89" t="e">
        <f t="shared" si="30"/>
        <v>#REF!</v>
      </c>
    </row>
    <row r="199" spans="1:80" ht="14.25" hidden="1" customHeight="1">
      <c r="A199" s="93">
        <v>192</v>
      </c>
      <c r="B199" s="82"/>
      <c r="C199" s="82"/>
      <c r="D199" s="100"/>
      <c r="E199" s="82"/>
      <c r="F199" s="82"/>
      <c r="G199" s="82"/>
      <c r="H199" s="82"/>
      <c r="I199" s="96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97">
        <f t="shared" si="21"/>
        <v>0</v>
      </c>
      <c r="W199" s="184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32"/>
      <c r="AW199" s="126">
        <f t="shared" si="31"/>
        <v>0</v>
      </c>
      <c r="AX199" s="39"/>
      <c r="AY199" s="39"/>
      <c r="AZ199" s="97">
        <f t="shared" si="47"/>
        <v>0</v>
      </c>
      <c r="BA199" s="98"/>
      <c r="BB199" s="97">
        <f t="shared" si="48"/>
        <v>0</v>
      </c>
      <c r="BC199" s="90"/>
      <c r="BD199" s="89">
        <f t="shared" si="43"/>
        <v>0</v>
      </c>
      <c r="BE199" s="98"/>
      <c r="BF199" s="89">
        <f t="shared" si="49"/>
        <v>0</v>
      </c>
      <c r="BG199" s="99"/>
      <c r="BH199" s="66"/>
      <c r="BI199" s="89">
        <f t="shared" si="0"/>
        <v>38.75</v>
      </c>
      <c r="BJ199" s="89">
        <f t="shared" si="7"/>
        <v>0</v>
      </c>
      <c r="BK199" s="89">
        <f t="shared" si="32"/>
        <v>0</v>
      </c>
      <c r="BL199" s="89">
        <f t="shared" si="26"/>
        <v>0</v>
      </c>
      <c r="BM199" s="89">
        <f t="shared" si="1"/>
        <v>27.5</v>
      </c>
      <c r="BN199" s="89">
        <f t="shared" si="9"/>
        <v>0</v>
      </c>
      <c r="BO199" s="89">
        <f t="shared" si="10"/>
        <v>0</v>
      </c>
      <c r="BP199" s="89">
        <f t="shared" si="27"/>
        <v>0</v>
      </c>
      <c r="BQ199" s="89">
        <f t="shared" si="2"/>
        <v>20</v>
      </c>
      <c r="BR199" s="89">
        <f t="shared" si="11"/>
        <v>0</v>
      </c>
      <c r="BS199" s="89">
        <f t="shared" si="12"/>
        <v>0</v>
      </c>
      <c r="BT199" s="89">
        <f t="shared" si="28"/>
        <v>0</v>
      </c>
      <c r="BU199" s="89">
        <f t="shared" si="3"/>
        <v>13.75</v>
      </c>
      <c r="BV199" s="89">
        <f t="shared" si="13"/>
        <v>0</v>
      </c>
      <c r="BW199" s="89">
        <f t="shared" si="14"/>
        <v>0</v>
      </c>
      <c r="BX199" s="89">
        <f t="shared" si="29"/>
        <v>0</v>
      </c>
      <c r="BY199" s="89" t="e">
        <f t="shared" si="4"/>
        <v>#REF!</v>
      </c>
      <c r="BZ199" s="89" t="e">
        <f t="shared" si="15"/>
        <v>#REF!</v>
      </c>
      <c r="CA199" s="89" t="e">
        <f t="shared" si="16"/>
        <v>#REF!</v>
      </c>
      <c r="CB199" s="89" t="e">
        <f t="shared" si="30"/>
        <v>#REF!</v>
      </c>
    </row>
    <row r="200" spans="1:80" ht="14.25" hidden="1" customHeight="1">
      <c r="A200" s="93">
        <v>193</v>
      </c>
      <c r="B200" s="82"/>
      <c r="C200" s="82"/>
      <c r="D200" s="100"/>
      <c r="E200" s="82"/>
      <c r="F200" s="82"/>
      <c r="G200" s="82"/>
      <c r="H200" s="82"/>
      <c r="I200" s="96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97">
        <f t="shared" si="21"/>
        <v>0</v>
      </c>
      <c r="W200" s="184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32"/>
      <c r="AW200" s="126">
        <f t="shared" si="31"/>
        <v>0</v>
      </c>
      <c r="AX200" s="39"/>
      <c r="AY200" s="39"/>
      <c r="AZ200" s="97">
        <f t="shared" si="47"/>
        <v>0</v>
      </c>
      <c r="BA200" s="98"/>
      <c r="BB200" s="97">
        <f t="shared" si="48"/>
        <v>0</v>
      </c>
      <c r="BC200" s="90"/>
      <c r="BD200" s="89">
        <f t="shared" ref="BD200:BD221" si="50">SUM(P200:S200)</f>
        <v>0</v>
      </c>
      <c r="BE200" s="98"/>
      <c r="BF200" s="89">
        <f t="shared" si="49"/>
        <v>0</v>
      </c>
      <c r="BG200" s="99"/>
      <c r="BH200" s="66"/>
      <c r="BI200" s="89">
        <f t="shared" si="0"/>
        <v>38.75</v>
      </c>
      <c r="BJ200" s="89">
        <f t="shared" si="7"/>
        <v>0</v>
      </c>
      <c r="BK200" s="89">
        <f t="shared" si="32"/>
        <v>0</v>
      </c>
      <c r="BL200" s="89">
        <f t="shared" si="26"/>
        <v>0</v>
      </c>
      <c r="BM200" s="89">
        <f t="shared" si="1"/>
        <v>27.5</v>
      </c>
      <c r="BN200" s="89">
        <f t="shared" si="9"/>
        <v>0</v>
      </c>
      <c r="BO200" s="89">
        <f t="shared" si="10"/>
        <v>0</v>
      </c>
      <c r="BP200" s="89">
        <f t="shared" si="27"/>
        <v>0</v>
      </c>
      <c r="BQ200" s="89">
        <f t="shared" si="2"/>
        <v>20</v>
      </c>
      <c r="BR200" s="89">
        <f t="shared" si="11"/>
        <v>0</v>
      </c>
      <c r="BS200" s="89">
        <f t="shared" si="12"/>
        <v>0</v>
      </c>
      <c r="BT200" s="89">
        <f t="shared" si="28"/>
        <v>0</v>
      </c>
      <c r="BU200" s="89">
        <f t="shared" si="3"/>
        <v>13.75</v>
      </c>
      <c r="BV200" s="89">
        <f t="shared" si="13"/>
        <v>0</v>
      </c>
      <c r="BW200" s="89">
        <f t="shared" si="14"/>
        <v>0</v>
      </c>
      <c r="BX200" s="89">
        <f t="shared" si="29"/>
        <v>0</v>
      </c>
      <c r="BY200" s="89" t="e">
        <f t="shared" si="4"/>
        <v>#REF!</v>
      </c>
      <c r="BZ200" s="89" t="e">
        <f t="shared" si="15"/>
        <v>#REF!</v>
      </c>
      <c r="CA200" s="89" t="e">
        <f t="shared" si="16"/>
        <v>#REF!</v>
      </c>
      <c r="CB200" s="89" t="e">
        <f t="shared" si="30"/>
        <v>#REF!</v>
      </c>
    </row>
    <row r="201" spans="1:80" ht="14.25" hidden="1" customHeight="1">
      <c r="A201" s="93">
        <v>194</v>
      </c>
      <c r="B201" s="82"/>
      <c r="C201" s="82"/>
      <c r="D201" s="100"/>
      <c r="E201" s="82"/>
      <c r="F201" s="82"/>
      <c r="G201" s="82"/>
      <c r="H201" s="82"/>
      <c r="I201" s="96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97">
        <f t="shared" si="21"/>
        <v>0</v>
      </c>
      <c r="W201" s="184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32"/>
      <c r="AW201" s="126">
        <f t="shared" si="31"/>
        <v>0</v>
      </c>
      <c r="AX201" s="39"/>
      <c r="AY201" s="39"/>
      <c r="AZ201" s="97">
        <f t="shared" si="47"/>
        <v>0</v>
      </c>
      <c r="BA201" s="98"/>
      <c r="BB201" s="97">
        <f t="shared" si="48"/>
        <v>0</v>
      </c>
      <c r="BC201" s="90"/>
      <c r="BD201" s="89">
        <f t="shared" si="50"/>
        <v>0</v>
      </c>
      <c r="BE201" s="98"/>
      <c r="BF201" s="89">
        <f t="shared" si="49"/>
        <v>0</v>
      </c>
      <c r="BG201" s="99"/>
      <c r="BH201" s="66"/>
      <c r="BI201" s="89">
        <f t="shared" si="0"/>
        <v>38.75</v>
      </c>
      <c r="BJ201" s="89">
        <f t="shared" si="7"/>
        <v>0</v>
      </c>
      <c r="BK201" s="89">
        <f t="shared" si="32"/>
        <v>0</v>
      </c>
      <c r="BL201" s="89">
        <f t="shared" si="26"/>
        <v>0</v>
      </c>
      <c r="BM201" s="89">
        <f t="shared" si="1"/>
        <v>27.5</v>
      </c>
      <c r="BN201" s="89">
        <f t="shared" si="9"/>
        <v>0</v>
      </c>
      <c r="BO201" s="89">
        <f t="shared" si="10"/>
        <v>0</v>
      </c>
      <c r="BP201" s="89">
        <f t="shared" si="27"/>
        <v>0</v>
      </c>
      <c r="BQ201" s="89">
        <f t="shared" si="2"/>
        <v>20</v>
      </c>
      <c r="BR201" s="89">
        <f t="shared" si="11"/>
        <v>0</v>
      </c>
      <c r="BS201" s="89">
        <f t="shared" si="12"/>
        <v>0</v>
      </c>
      <c r="BT201" s="89">
        <f t="shared" si="28"/>
        <v>0</v>
      </c>
      <c r="BU201" s="89">
        <f t="shared" si="3"/>
        <v>13.75</v>
      </c>
      <c r="BV201" s="89">
        <f t="shared" si="13"/>
        <v>0</v>
      </c>
      <c r="BW201" s="89">
        <f t="shared" si="14"/>
        <v>0</v>
      </c>
      <c r="BX201" s="89">
        <f t="shared" si="29"/>
        <v>0</v>
      </c>
      <c r="BY201" s="89" t="e">
        <f t="shared" si="4"/>
        <v>#REF!</v>
      </c>
      <c r="BZ201" s="89" t="e">
        <f t="shared" si="15"/>
        <v>#REF!</v>
      </c>
      <c r="CA201" s="89" t="e">
        <f t="shared" si="16"/>
        <v>#REF!</v>
      </c>
      <c r="CB201" s="89" t="e">
        <f t="shared" si="30"/>
        <v>#REF!</v>
      </c>
    </row>
    <row r="202" spans="1:80" ht="14.25" hidden="1" customHeight="1">
      <c r="A202" s="93">
        <v>195</v>
      </c>
      <c r="B202" s="82"/>
      <c r="C202" s="82"/>
      <c r="D202" s="100"/>
      <c r="E202" s="82"/>
      <c r="F202" s="82"/>
      <c r="G202" s="82"/>
      <c r="H202" s="82"/>
      <c r="I202" s="96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97">
        <f t="shared" si="21"/>
        <v>0</v>
      </c>
      <c r="W202" s="184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32"/>
      <c r="AW202" s="126">
        <f t="shared" si="31"/>
        <v>0</v>
      </c>
      <c r="AX202" s="39"/>
      <c r="AY202" s="39"/>
      <c r="AZ202" s="97">
        <f t="shared" si="47"/>
        <v>0</v>
      </c>
      <c r="BA202" s="98"/>
      <c r="BB202" s="97">
        <f t="shared" si="48"/>
        <v>0</v>
      </c>
      <c r="BC202" s="90"/>
      <c r="BD202" s="89">
        <f t="shared" si="50"/>
        <v>0</v>
      </c>
      <c r="BE202" s="98"/>
      <c r="BF202" s="89">
        <f t="shared" si="49"/>
        <v>0</v>
      </c>
      <c r="BG202" s="99"/>
      <c r="BH202" s="66"/>
      <c r="BI202" s="89">
        <f t="shared" si="0"/>
        <v>38.75</v>
      </c>
      <c r="BJ202" s="89">
        <f t="shared" si="7"/>
        <v>0</v>
      </c>
      <c r="BK202" s="89">
        <f t="shared" si="32"/>
        <v>0</v>
      </c>
      <c r="BL202" s="89">
        <f t="shared" si="26"/>
        <v>0</v>
      </c>
      <c r="BM202" s="89">
        <f t="shared" si="1"/>
        <v>27.5</v>
      </c>
      <c r="BN202" s="89">
        <f t="shared" si="9"/>
        <v>0</v>
      </c>
      <c r="BO202" s="89">
        <f t="shared" si="10"/>
        <v>0</v>
      </c>
      <c r="BP202" s="89">
        <f t="shared" si="27"/>
        <v>0</v>
      </c>
      <c r="BQ202" s="89">
        <f t="shared" si="2"/>
        <v>20</v>
      </c>
      <c r="BR202" s="89">
        <f t="shared" si="11"/>
        <v>0</v>
      </c>
      <c r="BS202" s="89">
        <f t="shared" si="12"/>
        <v>0</v>
      </c>
      <c r="BT202" s="89">
        <f t="shared" si="28"/>
        <v>0</v>
      </c>
      <c r="BU202" s="89">
        <f t="shared" si="3"/>
        <v>13.75</v>
      </c>
      <c r="BV202" s="89">
        <f t="shared" si="13"/>
        <v>0</v>
      </c>
      <c r="BW202" s="89">
        <f t="shared" si="14"/>
        <v>0</v>
      </c>
      <c r="BX202" s="89">
        <f t="shared" si="29"/>
        <v>0</v>
      </c>
      <c r="BY202" s="89" t="e">
        <f t="shared" si="4"/>
        <v>#REF!</v>
      </c>
      <c r="BZ202" s="89" t="e">
        <f t="shared" si="15"/>
        <v>#REF!</v>
      </c>
      <c r="CA202" s="89" t="e">
        <f t="shared" si="16"/>
        <v>#REF!</v>
      </c>
      <c r="CB202" s="89" t="e">
        <f t="shared" si="30"/>
        <v>#REF!</v>
      </c>
    </row>
    <row r="203" spans="1:80" ht="14.25" hidden="1" customHeight="1">
      <c r="A203" s="93">
        <v>196</v>
      </c>
      <c r="B203" s="82"/>
      <c r="C203" s="82"/>
      <c r="D203" s="100"/>
      <c r="E203" s="82"/>
      <c r="F203" s="82"/>
      <c r="G203" s="82"/>
      <c r="H203" s="82"/>
      <c r="I203" s="96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97">
        <f t="shared" si="21"/>
        <v>0</v>
      </c>
      <c r="W203" s="184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32"/>
      <c r="AW203" s="126">
        <f t="shared" si="31"/>
        <v>0</v>
      </c>
      <c r="AX203" s="39"/>
      <c r="AY203" s="39"/>
      <c r="AZ203" s="97">
        <f t="shared" si="47"/>
        <v>0</v>
      </c>
      <c r="BA203" s="98"/>
      <c r="BB203" s="97">
        <f t="shared" si="48"/>
        <v>0</v>
      </c>
      <c r="BC203" s="90"/>
      <c r="BD203" s="89">
        <f t="shared" si="50"/>
        <v>0</v>
      </c>
      <c r="BE203" s="98"/>
      <c r="BF203" s="89">
        <f t="shared" si="49"/>
        <v>0</v>
      </c>
      <c r="BG203" s="99"/>
      <c r="BH203" s="66"/>
      <c r="BI203" s="89">
        <f t="shared" si="0"/>
        <v>38.75</v>
      </c>
      <c r="BJ203" s="89">
        <f t="shared" si="7"/>
        <v>0</v>
      </c>
      <c r="BK203" s="89">
        <f t="shared" si="32"/>
        <v>0</v>
      </c>
      <c r="BL203" s="89">
        <f t="shared" si="26"/>
        <v>0</v>
      </c>
      <c r="BM203" s="89">
        <f t="shared" si="1"/>
        <v>27.5</v>
      </c>
      <c r="BN203" s="89">
        <f t="shared" si="9"/>
        <v>0</v>
      </c>
      <c r="BO203" s="89">
        <f t="shared" si="10"/>
        <v>0</v>
      </c>
      <c r="BP203" s="89">
        <f t="shared" si="27"/>
        <v>0</v>
      </c>
      <c r="BQ203" s="89">
        <f t="shared" si="2"/>
        <v>20</v>
      </c>
      <c r="BR203" s="89">
        <f t="shared" si="11"/>
        <v>0</v>
      </c>
      <c r="BS203" s="89">
        <f t="shared" si="12"/>
        <v>0</v>
      </c>
      <c r="BT203" s="89">
        <f t="shared" si="28"/>
        <v>0</v>
      </c>
      <c r="BU203" s="89">
        <f t="shared" si="3"/>
        <v>13.75</v>
      </c>
      <c r="BV203" s="89">
        <f t="shared" si="13"/>
        <v>0</v>
      </c>
      <c r="BW203" s="89">
        <f t="shared" si="14"/>
        <v>0</v>
      </c>
      <c r="BX203" s="89">
        <f t="shared" si="29"/>
        <v>0</v>
      </c>
      <c r="BY203" s="89" t="e">
        <f t="shared" si="4"/>
        <v>#REF!</v>
      </c>
      <c r="BZ203" s="89" t="e">
        <f t="shared" si="15"/>
        <v>#REF!</v>
      </c>
      <c r="CA203" s="89" t="e">
        <f t="shared" si="16"/>
        <v>#REF!</v>
      </c>
      <c r="CB203" s="89" t="e">
        <f t="shared" si="30"/>
        <v>#REF!</v>
      </c>
    </row>
    <row r="204" spans="1:80" ht="14.25" hidden="1" customHeight="1">
      <c r="A204" s="93">
        <v>197</v>
      </c>
      <c r="B204" s="82"/>
      <c r="C204" s="82"/>
      <c r="D204" s="100"/>
      <c r="E204" s="82"/>
      <c r="F204" s="82"/>
      <c r="G204" s="82"/>
      <c r="H204" s="82"/>
      <c r="I204" s="96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97">
        <f t="shared" si="21"/>
        <v>0</v>
      </c>
      <c r="W204" s="184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32"/>
      <c r="AW204" s="126">
        <f t="shared" si="31"/>
        <v>0</v>
      </c>
      <c r="AX204" s="39"/>
      <c r="AY204" s="39"/>
      <c r="AZ204" s="97">
        <f t="shared" si="47"/>
        <v>0</v>
      </c>
      <c r="BA204" s="98"/>
      <c r="BB204" s="97">
        <f t="shared" si="48"/>
        <v>0</v>
      </c>
      <c r="BC204" s="90"/>
      <c r="BD204" s="89">
        <f t="shared" si="50"/>
        <v>0</v>
      </c>
      <c r="BE204" s="98"/>
      <c r="BF204" s="89">
        <f t="shared" si="49"/>
        <v>0</v>
      </c>
      <c r="BG204" s="99"/>
      <c r="BH204" s="66"/>
      <c r="BI204" s="89">
        <f t="shared" si="0"/>
        <v>38.75</v>
      </c>
      <c r="BJ204" s="89">
        <f t="shared" si="7"/>
        <v>0</v>
      </c>
      <c r="BK204" s="89">
        <f t="shared" si="32"/>
        <v>0</v>
      </c>
      <c r="BL204" s="89">
        <f t="shared" si="26"/>
        <v>0</v>
      </c>
      <c r="BM204" s="89">
        <f t="shared" si="1"/>
        <v>27.5</v>
      </c>
      <c r="BN204" s="89">
        <f t="shared" si="9"/>
        <v>0</v>
      </c>
      <c r="BO204" s="89">
        <f t="shared" si="10"/>
        <v>0</v>
      </c>
      <c r="BP204" s="89">
        <f t="shared" si="27"/>
        <v>0</v>
      </c>
      <c r="BQ204" s="89">
        <f t="shared" si="2"/>
        <v>20</v>
      </c>
      <c r="BR204" s="89">
        <f t="shared" si="11"/>
        <v>0</v>
      </c>
      <c r="BS204" s="89">
        <f t="shared" si="12"/>
        <v>0</v>
      </c>
      <c r="BT204" s="89">
        <f t="shared" si="28"/>
        <v>0</v>
      </c>
      <c r="BU204" s="89">
        <f t="shared" si="3"/>
        <v>13.75</v>
      </c>
      <c r="BV204" s="89">
        <f t="shared" si="13"/>
        <v>0</v>
      </c>
      <c r="BW204" s="89">
        <f t="shared" si="14"/>
        <v>0</v>
      </c>
      <c r="BX204" s="89">
        <f t="shared" si="29"/>
        <v>0</v>
      </c>
      <c r="BY204" s="89" t="e">
        <f t="shared" si="4"/>
        <v>#REF!</v>
      </c>
      <c r="BZ204" s="89" t="e">
        <f t="shared" si="15"/>
        <v>#REF!</v>
      </c>
      <c r="CA204" s="89" t="e">
        <f t="shared" si="16"/>
        <v>#REF!</v>
      </c>
      <c r="CB204" s="89" t="e">
        <f t="shared" si="30"/>
        <v>#REF!</v>
      </c>
    </row>
    <row r="205" spans="1:80" ht="14.25" hidden="1" customHeight="1">
      <c r="A205" s="93">
        <v>198</v>
      </c>
      <c r="B205" s="82"/>
      <c r="C205" s="82"/>
      <c r="D205" s="100"/>
      <c r="E205" s="82"/>
      <c r="F205" s="82"/>
      <c r="G205" s="82"/>
      <c r="H205" s="82"/>
      <c r="I205" s="96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97">
        <f t="shared" si="21"/>
        <v>0</v>
      </c>
      <c r="W205" s="184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32"/>
      <c r="AW205" s="126">
        <f t="shared" si="31"/>
        <v>0</v>
      </c>
      <c r="AX205" s="39"/>
      <c r="AY205" s="39"/>
      <c r="AZ205" s="97">
        <f t="shared" si="47"/>
        <v>0</v>
      </c>
      <c r="BA205" s="98"/>
      <c r="BB205" s="97">
        <f t="shared" si="48"/>
        <v>0</v>
      </c>
      <c r="BC205" s="90"/>
      <c r="BD205" s="89">
        <f t="shared" si="50"/>
        <v>0</v>
      </c>
      <c r="BE205" s="98"/>
      <c r="BF205" s="89">
        <f t="shared" si="49"/>
        <v>0</v>
      </c>
      <c r="BG205" s="99"/>
      <c r="BH205" s="66"/>
      <c r="BI205" s="89">
        <f t="shared" si="0"/>
        <v>38.75</v>
      </c>
      <c r="BJ205" s="89">
        <f t="shared" si="7"/>
        <v>0</v>
      </c>
      <c r="BK205" s="89">
        <f t="shared" si="32"/>
        <v>0</v>
      </c>
      <c r="BL205" s="89">
        <f t="shared" si="26"/>
        <v>0</v>
      </c>
      <c r="BM205" s="89">
        <f t="shared" si="1"/>
        <v>27.5</v>
      </c>
      <c r="BN205" s="89">
        <f t="shared" si="9"/>
        <v>0</v>
      </c>
      <c r="BO205" s="89">
        <f t="shared" si="10"/>
        <v>0</v>
      </c>
      <c r="BP205" s="89">
        <f t="shared" si="27"/>
        <v>0</v>
      </c>
      <c r="BQ205" s="89">
        <f t="shared" si="2"/>
        <v>20</v>
      </c>
      <c r="BR205" s="89">
        <f t="shared" si="11"/>
        <v>0</v>
      </c>
      <c r="BS205" s="89">
        <f t="shared" si="12"/>
        <v>0</v>
      </c>
      <c r="BT205" s="89">
        <f t="shared" si="28"/>
        <v>0</v>
      </c>
      <c r="BU205" s="89">
        <f t="shared" si="3"/>
        <v>13.75</v>
      </c>
      <c r="BV205" s="89">
        <f t="shared" si="13"/>
        <v>0</v>
      </c>
      <c r="BW205" s="89">
        <f t="shared" si="14"/>
        <v>0</v>
      </c>
      <c r="BX205" s="89">
        <f t="shared" si="29"/>
        <v>0</v>
      </c>
      <c r="BY205" s="89" t="e">
        <f t="shared" si="4"/>
        <v>#REF!</v>
      </c>
      <c r="BZ205" s="89" t="e">
        <f t="shared" si="15"/>
        <v>#REF!</v>
      </c>
      <c r="CA205" s="89" t="e">
        <f t="shared" si="16"/>
        <v>#REF!</v>
      </c>
      <c r="CB205" s="89" t="e">
        <f t="shared" si="30"/>
        <v>#REF!</v>
      </c>
    </row>
    <row r="206" spans="1:80" ht="14.25" hidden="1" customHeight="1">
      <c r="A206" s="93">
        <v>199</v>
      </c>
      <c r="B206" s="82"/>
      <c r="C206" s="82"/>
      <c r="D206" s="100"/>
      <c r="E206" s="82"/>
      <c r="F206" s="82"/>
      <c r="G206" s="82"/>
      <c r="H206" s="82"/>
      <c r="I206" s="96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97">
        <f t="shared" si="21"/>
        <v>0</v>
      </c>
      <c r="W206" s="184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32"/>
      <c r="AW206" s="126">
        <f t="shared" si="31"/>
        <v>0</v>
      </c>
      <c r="AX206" s="39"/>
      <c r="AY206" s="39"/>
      <c r="AZ206" s="97">
        <f t="shared" si="47"/>
        <v>0</v>
      </c>
      <c r="BA206" s="98"/>
      <c r="BB206" s="97">
        <f t="shared" si="48"/>
        <v>0</v>
      </c>
      <c r="BC206" s="90"/>
      <c r="BD206" s="89">
        <f t="shared" si="50"/>
        <v>0</v>
      </c>
      <c r="BE206" s="98"/>
      <c r="BF206" s="89">
        <f t="shared" si="49"/>
        <v>0</v>
      </c>
      <c r="BG206" s="99"/>
      <c r="BH206" s="66"/>
      <c r="BI206" s="89">
        <f t="shared" si="0"/>
        <v>38.75</v>
      </c>
      <c r="BJ206" s="89">
        <f t="shared" si="7"/>
        <v>0</v>
      </c>
      <c r="BK206" s="89">
        <f t="shared" si="32"/>
        <v>0</v>
      </c>
      <c r="BL206" s="89">
        <f t="shared" si="26"/>
        <v>0</v>
      </c>
      <c r="BM206" s="89">
        <f t="shared" si="1"/>
        <v>27.5</v>
      </c>
      <c r="BN206" s="89">
        <f t="shared" si="9"/>
        <v>0</v>
      </c>
      <c r="BO206" s="89">
        <f t="shared" si="10"/>
        <v>0</v>
      </c>
      <c r="BP206" s="89">
        <f t="shared" si="27"/>
        <v>0</v>
      </c>
      <c r="BQ206" s="89">
        <f t="shared" si="2"/>
        <v>20</v>
      </c>
      <c r="BR206" s="89">
        <f t="shared" si="11"/>
        <v>0</v>
      </c>
      <c r="BS206" s="89">
        <f t="shared" si="12"/>
        <v>0</v>
      </c>
      <c r="BT206" s="89">
        <f t="shared" si="28"/>
        <v>0</v>
      </c>
      <c r="BU206" s="89">
        <f t="shared" si="3"/>
        <v>13.75</v>
      </c>
      <c r="BV206" s="89">
        <f t="shared" si="13"/>
        <v>0</v>
      </c>
      <c r="BW206" s="89">
        <f t="shared" si="14"/>
        <v>0</v>
      </c>
      <c r="BX206" s="89">
        <f t="shared" si="29"/>
        <v>0</v>
      </c>
      <c r="BY206" s="89" t="e">
        <f t="shared" si="4"/>
        <v>#REF!</v>
      </c>
      <c r="BZ206" s="89" t="e">
        <f t="shared" si="15"/>
        <v>#REF!</v>
      </c>
      <c r="CA206" s="89" t="e">
        <f t="shared" si="16"/>
        <v>#REF!</v>
      </c>
      <c r="CB206" s="89" t="e">
        <f t="shared" si="30"/>
        <v>#REF!</v>
      </c>
    </row>
    <row r="207" spans="1:80" ht="14.25" hidden="1" customHeight="1">
      <c r="A207" s="93">
        <v>200</v>
      </c>
      <c r="B207" s="82"/>
      <c r="C207" s="82"/>
      <c r="D207" s="100"/>
      <c r="E207" s="82"/>
      <c r="F207" s="82"/>
      <c r="G207" s="82"/>
      <c r="H207" s="82"/>
      <c r="I207" s="96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97">
        <f t="shared" si="21"/>
        <v>0</v>
      </c>
      <c r="W207" s="184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32"/>
      <c r="AW207" s="126">
        <f t="shared" si="31"/>
        <v>0</v>
      </c>
      <c r="AX207" s="39"/>
      <c r="AY207" s="39"/>
      <c r="AZ207" s="97">
        <f t="shared" si="47"/>
        <v>0</v>
      </c>
      <c r="BA207" s="98"/>
      <c r="BB207" s="97">
        <f t="shared" si="48"/>
        <v>0</v>
      </c>
      <c r="BC207" s="90"/>
      <c r="BD207" s="89">
        <f t="shared" si="50"/>
        <v>0</v>
      </c>
      <c r="BE207" s="98"/>
      <c r="BF207" s="89">
        <f t="shared" si="49"/>
        <v>0</v>
      </c>
      <c r="BG207" s="99"/>
      <c r="BH207" s="66"/>
      <c r="BI207" s="89">
        <f t="shared" si="0"/>
        <v>38.75</v>
      </c>
      <c r="BJ207" s="89">
        <f t="shared" si="7"/>
        <v>0</v>
      </c>
      <c r="BK207" s="89">
        <f t="shared" si="32"/>
        <v>0</v>
      </c>
      <c r="BL207" s="89">
        <f t="shared" si="26"/>
        <v>0</v>
      </c>
      <c r="BM207" s="89">
        <f t="shared" si="1"/>
        <v>27.5</v>
      </c>
      <c r="BN207" s="89">
        <f t="shared" si="9"/>
        <v>0</v>
      </c>
      <c r="BO207" s="89">
        <f t="shared" si="10"/>
        <v>0</v>
      </c>
      <c r="BP207" s="89">
        <f t="shared" si="27"/>
        <v>0</v>
      </c>
      <c r="BQ207" s="89">
        <f t="shared" si="2"/>
        <v>20</v>
      </c>
      <c r="BR207" s="89">
        <f t="shared" si="11"/>
        <v>0</v>
      </c>
      <c r="BS207" s="89">
        <f t="shared" si="12"/>
        <v>0</v>
      </c>
      <c r="BT207" s="89">
        <f t="shared" si="28"/>
        <v>0</v>
      </c>
      <c r="BU207" s="89">
        <f t="shared" si="3"/>
        <v>13.75</v>
      </c>
      <c r="BV207" s="89">
        <f t="shared" si="13"/>
        <v>0</v>
      </c>
      <c r="BW207" s="89">
        <f t="shared" si="14"/>
        <v>0</v>
      </c>
      <c r="BX207" s="89">
        <f t="shared" si="29"/>
        <v>0</v>
      </c>
      <c r="BY207" s="89" t="e">
        <f t="shared" si="4"/>
        <v>#REF!</v>
      </c>
      <c r="BZ207" s="89" t="e">
        <f t="shared" si="15"/>
        <v>#REF!</v>
      </c>
      <c r="CA207" s="89" t="e">
        <f t="shared" si="16"/>
        <v>#REF!</v>
      </c>
      <c r="CB207" s="89" t="e">
        <f t="shared" si="30"/>
        <v>#REF!</v>
      </c>
    </row>
    <row r="208" spans="1:80" ht="14.25" hidden="1" customHeight="1">
      <c r="A208" s="93">
        <v>201</v>
      </c>
      <c r="B208" s="82"/>
      <c r="C208" s="82"/>
      <c r="D208" s="100"/>
      <c r="E208" s="82"/>
      <c r="F208" s="82"/>
      <c r="G208" s="82"/>
      <c r="H208" s="82"/>
      <c r="I208" s="96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97">
        <f t="shared" si="21"/>
        <v>0</v>
      </c>
      <c r="W208" s="184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32"/>
      <c r="AW208" s="126">
        <f t="shared" si="31"/>
        <v>0</v>
      </c>
      <c r="AX208" s="39"/>
      <c r="AY208" s="39"/>
      <c r="AZ208" s="97">
        <f t="shared" si="47"/>
        <v>0</v>
      </c>
      <c r="BA208" s="98"/>
      <c r="BB208" s="97">
        <f t="shared" si="48"/>
        <v>0</v>
      </c>
      <c r="BC208" s="90"/>
      <c r="BD208" s="89">
        <f t="shared" si="50"/>
        <v>0</v>
      </c>
      <c r="BE208" s="98"/>
      <c r="BF208" s="89">
        <f t="shared" si="49"/>
        <v>0</v>
      </c>
      <c r="BG208" s="99"/>
      <c r="BH208" s="66"/>
      <c r="BI208" s="89">
        <f t="shared" si="0"/>
        <v>38.75</v>
      </c>
      <c r="BJ208" s="89">
        <f t="shared" si="7"/>
        <v>0</v>
      </c>
      <c r="BK208" s="89">
        <f t="shared" si="32"/>
        <v>0</v>
      </c>
      <c r="BL208" s="89">
        <f t="shared" si="26"/>
        <v>0</v>
      </c>
      <c r="BM208" s="89">
        <f t="shared" si="1"/>
        <v>27.5</v>
      </c>
      <c r="BN208" s="89">
        <f t="shared" si="9"/>
        <v>0</v>
      </c>
      <c r="BO208" s="89">
        <f t="shared" si="10"/>
        <v>0</v>
      </c>
      <c r="BP208" s="89">
        <f t="shared" si="27"/>
        <v>0</v>
      </c>
      <c r="BQ208" s="89">
        <f t="shared" si="2"/>
        <v>20</v>
      </c>
      <c r="BR208" s="89">
        <f t="shared" si="11"/>
        <v>0</v>
      </c>
      <c r="BS208" s="89">
        <f t="shared" si="12"/>
        <v>0</v>
      </c>
      <c r="BT208" s="89">
        <f t="shared" si="28"/>
        <v>0</v>
      </c>
      <c r="BU208" s="89">
        <f t="shared" si="3"/>
        <v>13.75</v>
      </c>
      <c r="BV208" s="89">
        <f t="shared" si="13"/>
        <v>0</v>
      </c>
      <c r="BW208" s="89">
        <f t="shared" si="14"/>
        <v>0</v>
      </c>
      <c r="BX208" s="89">
        <f t="shared" si="29"/>
        <v>0</v>
      </c>
      <c r="BY208" s="89" t="e">
        <f t="shared" si="4"/>
        <v>#REF!</v>
      </c>
      <c r="BZ208" s="89" t="e">
        <f t="shared" si="15"/>
        <v>#REF!</v>
      </c>
      <c r="CA208" s="89" t="e">
        <f t="shared" si="16"/>
        <v>#REF!</v>
      </c>
      <c r="CB208" s="89" t="e">
        <f t="shared" si="30"/>
        <v>#REF!</v>
      </c>
    </row>
    <row r="209" spans="1:80" ht="14.25" hidden="1" customHeight="1">
      <c r="A209" s="93">
        <v>202</v>
      </c>
      <c r="B209" s="82"/>
      <c r="C209" s="82"/>
      <c r="D209" s="100"/>
      <c r="E209" s="82"/>
      <c r="F209" s="82"/>
      <c r="G209" s="82"/>
      <c r="H209" s="82"/>
      <c r="I209" s="96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97">
        <f t="shared" si="21"/>
        <v>0</v>
      </c>
      <c r="W209" s="184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32"/>
      <c r="AW209" s="126">
        <f t="shared" si="31"/>
        <v>0</v>
      </c>
      <c r="AX209" s="39"/>
      <c r="AY209" s="39"/>
      <c r="AZ209" s="97">
        <f t="shared" si="47"/>
        <v>0</v>
      </c>
      <c r="BA209" s="98"/>
      <c r="BB209" s="97">
        <f t="shared" si="48"/>
        <v>0</v>
      </c>
      <c r="BC209" s="90"/>
      <c r="BD209" s="89">
        <f t="shared" si="50"/>
        <v>0</v>
      </c>
      <c r="BE209" s="98"/>
      <c r="BF209" s="89">
        <f t="shared" si="49"/>
        <v>0</v>
      </c>
      <c r="BG209" s="99"/>
      <c r="BH209" s="66"/>
      <c r="BI209" s="89">
        <f t="shared" si="0"/>
        <v>38.75</v>
      </c>
      <c r="BJ209" s="89">
        <f t="shared" si="7"/>
        <v>0</v>
      </c>
      <c r="BK209" s="89">
        <f t="shared" si="32"/>
        <v>0</v>
      </c>
      <c r="BL209" s="89">
        <f t="shared" si="26"/>
        <v>0</v>
      </c>
      <c r="BM209" s="89">
        <f t="shared" si="1"/>
        <v>27.5</v>
      </c>
      <c r="BN209" s="89">
        <f t="shared" si="9"/>
        <v>0</v>
      </c>
      <c r="BO209" s="89">
        <f t="shared" si="10"/>
        <v>0</v>
      </c>
      <c r="BP209" s="89">
        <f t="shared" si="27"/>
        <v>0</v>
      </c>
      <c r="BQ209" s="89">
        <f t="shared" si="2"/>
        <v>20</v>
      </c>
      <c r="BR209" s="89">
        <f t="shared" si="11"/>
        <v>0</v>
      </c>
      <c r="BS209" s="89">
        <f t="shared" si="12"/>
        <v>0</v>
      </c>
      <c r="BT209" s="89">
        <f t="shared" si="28"/>
        <v>0</v>
      </c>
      <c r="BU209" s="89">
        <f t="shared" si="3"/>
        <v>13.75</v>
      </c>
      <c r="BV209" s="89">
        <f t="shared" si="13"/>
        <v>0</v>
      </c>
      <c r="BW209" s="89">
        <f t="shared" si="14"/>
        <v>0</v>
      </c>
      <c r="BX209" s="89">
        <f t="shared" si="29"/>
        <v>0</v>
      </c>
      <c r="BY209" s="89" t="e">
        <f t="shared" si="4"/>
        <v>#REF!</v>
      </c>
      <c r="BZ209" s="89" t="e">
        <f t="shared" si="15"/>
        <v>#REF!</v>
      </c>
      <c r="CA209" s="89" t="e">
        <f t="shared" si="16"/>
        <v>#REF!</v>
      </c>
      <c r="CB209" s="89" t="e">
        <f t="shared" si="30"/>
        <v>#REF!</v>
      </c>
    </row>
    <row r="210" spans="1:80" ht="14.25" hidden="1" customHeight="1">
      <c r="A210" s="93">
        <v>203</v>
      </c>
      <c r="B210" s="82"/>
      <c r="C210" s="82"/>
      <c r="D210" s="100"/>
      <c r="E210" s="82"/>
      <c r="F210" s="82"/>
      <c r="G210" s="82"/>
      <c r="H210" s="82"/>
      <c r="I210" s="96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97">
        <f t="shared" si="21"/>
        <v>0</v>
      </c>
      <c r="W210" s="184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32"/>
      <c r="AW210" s="126">
        <f t="shared" si="31"/>
        <v>0</v>
      </c>
      <c r="AX210" s="39"/>
      <c r="AY210" s="39"/>
      <c r="AZ210" s="97">
        <f t="shared" si="47"/>
        <v>0</v>
      </c>
      <c r="BA210" s="98"/>
      <c r="BB210" s="97">
        <f t="shared" si="48"/>
        <v>0</v>
      </c>
      <c r="BC210" s="90"/>
      <c r="BD210" s="89">
        <f t="shared" si="50"/>
        <v>0</v>
      </c>
      <c r="BE210" s="98"/>
      <c r="BF210" s="89">
        <f t="shared" si="49"/>
        <v>0</v>
      </c>
      <c r="BG210" s="99"/>
      <c r="BH210" s="66"/>
      <c r="BI210" s="89">
        <f t="shared" si="0"/>
        <v>38.75</v>
      </c>
      <c r="BJ210" s="89">
        <f t="shared" si="7"/>
        <v>0</v>
      </c>
      <c r="BK210" s="89">
        <f t="shared" si="32"/>
        <v>0</v>
      </c>
      <c r="BL210" s="89">
        <f t="shared" si="26"/>
        <v>0</v>
      </c>
      <c r="BM210" s="89">
        <f t="shared" si="1"/>
        <v>27.5</v>
      </c>
      <c r="BN210" s="89">
        <f t="shared" si="9"/>
        <v>0</v>
      </c>
      <c r="BO210" s="89">
        <f t="shared" si="10"/>
        <v>0</v>
      </c>
      <c r="BP210" s="89">
        <f t="shared" si="27"/>
        <v>0</v>
      </c>
      <c r="BQ210" s="89">
        <f t="shared" si="2"/>
        <v>20</v>
      </c>
      <c r="BR210" s="89">
        <f t="shared" si="11"/>
        <v>0</v>
      </c>
      <c r="BS210" s="89">
        <f t="shared" si="12"/>
        <v>0</v>
      </c>
      <c r="BT210" s="89">
        <f t="shared" si="28"/>
        <v>0</v>
      </c>
      <c r="BU210" s="89">
        <f t="shared" si="3"/>
        <v>13.75</v>
      </c>
      <c r="BV210" s="89">
        <f t="shared" si="13"/>
        <v>0</v>
      </c>
      <c r="BW210" s="89">
        <f t="shared" si="14"/>
        <v>0</v>
      </c>
      <c r="BX210" s="89">
        <f t="shared" si="29"/>
        <v>0</v>
      </c>
      <c r="BY210" s="89" t="e">
        <f t="shared" si="4"/>
        <v>#REF!</v>
      </c>
      <c r="BZ210" s="89" t="e">
        <f t="shared" si="15"/>
        <v>#REF!</v>
      </c>
      <c r="CA210" s="89" t="e">
        <f t="shared" si="16"/>
        <v>#REF!</v>
      </c>
      <c r="CB210" s="89" t="e">
        <f t="shared" si="30"/>
        <v>#REF!</v>
      </c>
    </row>
    <row r="211" spans="1:80" ht="14.25" hidden="1" customHeight="1">
      <c r="A211" s="93">
        <v>204</v>
      </c>
      <c r="B211" s="82"/>
      <c r="C211" s="82"/>
      <c r="D211" s="100"/>
      <c r="E211" s="82"/>
      <c r="F211" s="82"/>
      <c r="G211" s="82"/>
      <c r="H211" s="82"/>
      <c r="I211" s="96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97">
        <f t="shared" si="21"/>
        <v>0</v>
      </c>
      <c r="W211" s="184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32"/>
      <c r="AW211" s="126">
        <f t="shared" si="31"/>
        <v>0</v>
      </c>
      <c r="AX211" s="39"/>
      <c r="AY211" s="39"/>
      <c r="AZ211" s="97">
        <f t="shared" si="47"/>
        <v>0</v>
      </c>
      <c r="BA211" s="98"/>
      <c r="BB211" s="97">
        <f t="shared" si="48"/>
        <v>0</v>
      </c>
      <c r="BC211" s="90"/>
      <c r="BD211" s="89">
        <f t="shared" si="50"/>
        <v>0</v>
      </c>
      <c r="BE211" s="98"/>
      <c r="BF211" s="89">
        <f t="shared" si="49"/>
        <v>0</v>
      </c>
      <c r="BG211" s="99"/>
      <c r="BH211" s="66"/>
      <c r="BI211" s="89">
        <f t="shared" si="0"/>
        <v>38.75</v>
      </c>
      <c r="BJ211" s="89">
        <f t="shared" si="7"/>
        <v>0</v>
      </c>
      <c r="BK211" s="89">
        <f t="shared" si="32"/>
        <v>0</v>
      </c>
      <c r="BL211" s="89">
        <f t="shared" si="26"/>
        <v>0</v>
      </c>
      <c r="BM211" s="89">
        <f t="shared" si="1"/>
        <v>27.5</v>
      </c>
      <c r="BN211" s="89">
        <f t="shared" si="9"/>
        <v>0</v>
      </c>
      <c r="BO211" s="89">
        <f t="shared" si="10"/>
        <v>0</v>
      </c>
      <c r="BP211" s="89">
        <f t="shared" si="27"/>
        <v>0</v>
      </c>
      <c r="BQ211" s="89">
        <f t="shared" si="2"/>
        <v>20</v>
      </c>
      <c r="BR211" s="89">
        <f t="shared" si="11"/>
        <v>0</v>
      </c>
      <c r="BS211" s="89">
        <f t="shared" si="12"/>
        <v>0</v>
      </c>
      <c r="BT211" s="89">
        <f t="shared" si="28"/>
        <v>0</v>
      </c>
      <c r="BU211" s="89">
        <f t="shared" si="3"/>
        <v>13.75</v>
      </c>
      <c r="BV211" s="89">
        <f t="shared" si="13"/>
        <v>0</v>
      </c>
      <c r="BW211" s="89">
        <f t="shared" si="14"/>
        <v>0</v>
      </c>
      <c r="BX211" s="89">
        <f t="shared" si="29"/>
        <v>0</v>
      </c>
      <c r="BY211" s="89" t="e">
        <f t="shared" si="4"/>
        <v>#REF!</v>
      </c>
      <c r="BZ211" s="89" t="e">
        <f t="shared" si="15"/>
        <v>#REF!</v>
      </c>
      <c r="CA211" s="89" t="e">
        <f t="shared" si="16"/>
        <v>#REF!</v>
      </c>
      <c r="CB211" s="89" t="e">
        <f t="shared" si="30"/>
        <v>#REF!</v>
      </c>
    </row>
    <row r="212" spans="1:80" ht="14.25" hidden="1" customHeight="1">
      <c r="A212" s="93">
        <v>205</v>
      </c>
      <c r="B212" s="82"/>
      <c r="C212" s="82"/>
      <c r="D212" s="100"/>
      <c r="E212" s="82"/>
      <c r="F212" s="82"/>
      <c r="G212" s="82"/>
      <c r="H212" s="82"/>
      <c r="I212" s="96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97">
        <f t="shared" si="21"/>
        <v>0</v>
      </c>
      <c r="W212" s="184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32"/>
      <c r="AW212" s="126">
        <f t="shared" si="31"/>
        <v>0</v>
      </c>
      <c r="AX212" s="39"/>
      <c r="AY212" s="39"/>
      <c r="AZ212" s="97">
        <f t="shared" si="47"/>
        <v>0</v>
      </c>
      <c r="BA212" s="98"/>
      <c r="BB212" s="97">
        <f t="shared" si="48"/>
        <v>0</v>
      </c>
      <c r="BC212" s="90"/>
      <c r="BD212" s="89">
        <f t="shared" si="50"/>
        <v>0</v>
      </c>
      <c r="BE212" s="98"/>
      <c r="BF212" s="89">
        <f t="shared" si="49"/>
        <v>0</v>
      </c>
      <c r="BG212" s="99"/>
      <c r="BH212" s="66"/>
      <c r="BI212" s="89">
        <f t="shared" si="0"/>
        <v>38.75</v>
      </c>
      <c r="BJ212" s="89">
        <f t="shared" si="7"/>
        <v>0</v>
      </c>
      <c r="BK212" s="89">
        <f t="shared" si="32"/>
        <v>0</v>
      </c>
      <c r="BL212" s="89">
        <f t="shared" si="26"/>
        <v>0</v>
      </c>
      <c r="BM212" s="89">
        <f t="shared" si="1"/>
        <v>27.5</v>
      </c>
      <c r="BN212" s="89">
        <f t="shared" si="9"/>
        <v>0</v>
      </c>
      <c r="BO212" s="89">
        <f t="shared" si="10"/>
        <v>0</v>
      </c>
      <c r="BP212" s="89">
        <f t="shared" si="27"/>
        <v>0</v>
      </c>
      <c r="BQ212" s="89">
        <f t="shared" si="2"/>
        <v>20</v>
      </c>
      <c r="BR212" s="89">
        <f t="shared" si="11"/>
        <v>0</v>
      </c>
      <c r="BS212" s="89">
        <f t="shared" si="12"/>
        <v>0</v>
      </c>
      <c r="BT212" s="89">
        <f t="shared" si="28"/>
        <v>0</v>
      </c>
      <c r="BU212" s="89">
        <f t="shared" si="3"/>
        <v>13.75</v>
      </c>
      <c r="BV212" s="89">
        <f t="shared" si="13"/>
        <v>0</v>
      </c>
      <c r="BW212" s="89">
        <f t="shared" si="14"/>
        <v>0</v>
      </c>
      <c r="BX212" s="89">
        <f t="shared" si="29"/>
        <v>0</v>
      </c>
      <c r="BY212" s="89" t="e">
        <f t="shared" si="4"/>
        <v>#REF!</v>
      </c>
      <c r="BZ212" s="89" t="e">
        <f t="shared" si="15"/>
        <v>#REF!</v>
      </c>
      <c r="CA212" s="89" t="e">
        <f t="shared" si="16"/>
        <v>#REF!</v>
      </c>
      <c r="CB212" s="89" t="e">
        <f t="shared" si="30"/>
        <v>#REF!</v>
      </c>
    </row>
    <row r="213" spans="1:80" ht="14.25" hidden="1" customHeight="1">
      <c r="A213" s="93">
        <v>206</v>
      </c>
      <c r="B213" s="82"/>
      <c r="C213" s="82"/>
      <c r="D213" s="100"/>
      <c r="E213" s="82"/>
      <c r="F213" s="82"/>
      <c r="G213" s="82"/>
      <c r="H213" s="82"/>
      <c r="I213" s="96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97">
        <f t="shared" si="21"/>
        <v>0</v>
      </c>
      <c r="W213" s="184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32"/>
      <c r="AW213" s="126">
        <f t="shared" si="31"/>
        <v>0</v>
      </c>
      <c r="AX213" s="39"/>
      <c r="AY213" s="39"/>
      <c r="AZ213" s="97">
        <f t="shared" si="47"/>
        <v>0</v>
      </c>
      <c r="BA213" s="98"/>
      <c r="BB213" s="97">
        <f t="shared" si="48"/>
        <v>0</v>
      </c>
      <c r="BC213" s="90"/>
      <c r="BD213" s="89">
        <f t="shared" si="50"/>
        <v>0</v>
      </c>
      <c r="BE213" s="98"/>
      <c r="BF213" s="89">
        <f t="shared" si="49"/>
        <v>0</v>
      </c>
      <c r="BG213" s="99"/>
      <c r="BH213" s="66"/>
      <c r="BI213" s="89">
        <f t="shared" si="0"/>
        <v>38.75</v>
      </c>
      <c r="BJ213" s="89">
        <f t="shared" si="7"/>
        <v>0</v>
      </c>
      <c r="BK213" s="89">
        <f t="shared" si="32"/>
        <v>0</v>
      </c>
      <c r="BL213" s="89">
        <f t="shared" si="26"/>
        <v>0</v>
      </c>
      <c r="BM213" s="89">
        <f t="shared" si="1"/>
        <v>27.5</v>
      </c>
      <c r="BN213" s="89">
        <f t="shared" si="9"/>
        <v>0</v>
      </c>
      <c r="BO213" s="89">
        <f t="shared" si="10"/>
        <v>0</v>
      </c>
      <c r="BP213" s="89">
        <f t="shared" si="27"/>
        <v>0</v>
      </c>
      <c r="BQ213" s="89">
        <f t="shared" si="2"/>
        <v>20</v>
      </c>
      <c r="BR213" s="89">
        <f t="shared" si="11"/>
        <v>0</v>
      </c>
      <c r="BS213" s="89">
        <f t="shared" si="12"/>
        <v>0</v>
      </c>
      <c r="BT213" s="89">
        <f t="shared" si="28"/>
        <v>0</v>
      </c>
      <c r="BU213" s="89">
        <f t="shared" si="3"/>
        <v>13.75</v>
      </c>
      <c r="BV213" s="89">
        <f t="shared" si="13"/>
        <v>0</v>
      </c>
      <c r="BW213" s="89">
        <f t="shared" si="14"/>
        <v>0</v>
      </c>
      <c r="BX213" s="89">
        <f t="shared" si="29"/>
        <v>0</v>
      </c>
      <c r="BY213" s="89" t="e">
        <f t="shared" si="4"/>
        <v>#REF!</v>
      </c>
      <c r="BZ213" s="89" t="e">
        <f t="shared" si="15"/>
        <v>#REF!</v>
      </c>
      <c r="CA213" s="89" t="e">
        <f t="shared" si="16"/>
        <v>#REF!</v>
      </c>
      <c r="CB213" s="89" t="e">
        <f t="shared" si="30"/>
        <v>#REF!</v>
      </c>
    </row>
    <row r="214" spans="1:80" ht="14.25" hidden="1" customHeight="1">
      <c r="A214" s="93">
        <v>207</v>
      </c>
      <c r="B214" s="82"/>
      <c r="C214" s="82"/>
      <c r="D214" s="100"/>
      <c r="E214" s="82"/>
      <c r="F214" s="82"/>
      <c r="G214" s="82"/>
      <c r="H214" s="82"/>
      <c r="I214" s="96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97">
        <f t="shared" si="21"/>
        <v>0</v>
      </c>
      <c r="W214" s="184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32"/>
      <c r="AW214" s="126">
        <f t="shared" si="31"/>
        <v>0</v>
      </c>
      <c r="AX214" s="39"/>
      <c r="AY214" s="39"/>
      <c r="AZ214" s="97">
        <f t="shared" si="47"/>
        <v>0</v>
      </c>
      <c r="BA214" s="98"/>
      <c r="BB214" s="97">
        <f t="shared" si="48"/>
        <v>0</v>
      </c>
      <c r="BC214" s="90"/>
      <c r="BD214" s="89">
        <f t="shared" si="50"/>
        <v>0</v>
      </c>
      <c r="BE214" s="98"/>
      <c r="BF214" s="89">
        <f t="shared" si="49"/>
        <v>0</v>
      </c>
      <c r="BG214" s="99"/>
      <c r="BH214" s="66"/>
      <c r="BI214" s="89">
        <f t="shared" si="0"/>
        <v>38.75</v>
      </c>
      <c r="BJ214" s="89">
        <f t="shared" si="7"/>
        <v>0</v>
      </c>
      <c r="BK214" s="89">
        <f t="shared" si="32"/>
        <v>0</v>
      </c>
      <c r="BL214" s="89">
        <f t="shared" si="26"/>
        <v>0</v>
      </c>
      <c r="BM214" s="89">
        <f t="shared" si="1"/>
        <v>27.5</v>
      </c>
      <c r="BN214" s="89">
        <f t="shared" si="9"/>
        <v>0</v>
      </c>
      <c r="BO214" s="89">
        <f t="shared" si="10"/>
        <v>0</v>
      </c>
      <c r="BP214" s="89">
        <f t="shared" si="27"/>
        <v>0</v>
      </c>
      <c r="BQ214" s="89">
        <f t="shared" si="2"/>
        <v>20</v>
      </c>
      <c r="BR214" s="89">
        <f t="shared" si="11"/>
        <v>0</v>
      </c>
      <c r="BS214" s="89">
        <f t="shared" si="12"/>
        <v>0</v>
      </c>
      <c r="BT214" s="89">
        <f t="shared" si="28"/>
        <v>0</v>
      </c>
      <c r="BU214" s="89">
        <f t="shared" si="3"/>
        <v>13.75</v>
      </c>
      <c r="BV214" s="89">
        <f t="shared" si="13"/>
        <v>0</v>
      </c>
      <c r="BW214" s="89">
        <f t="shared" si="14"/>
        <v>0</v>
      </c>
      <c r="BX214" s="89">
        <f t="shared" si="29"/>
        <v>0</v>
      </c>
      <c r="BY214" s="89" t="e">
        <f t="shared" si="4"/>
        <v>#REF!</v>
      </c>
      <c r="BZ214" s="89" t="e">
        <f t="shared" si="15"/>
        <v>#REF!</v>
      </c>
      <c r="CA214" s="89" t="e">
        <f t="shared" si="16"/>
        <v>#REF!</v>
      </c>
      <c r="CB214" s="89" t="e">
        <f t="shared" si="30"/>
        <v>#REF!</v>
      </c>
    </row>
    <row r="215" spans="1:80" ht="14.25" hidden="1" customHeight="1">
      <c r="A215" s="93">
        <v>208</v>
      </c>
      <c r="B215" s="82"/>
      <c r="C215" s="82"/>
      <c r="D215" s="100"/>
      <c r="E215" s="82"/>
      <c r="F215" s="82"/>
      <c r="G215" s="82"/>
      <c r="H215" s="82"/>
      <c r="I215" s="96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97">
        <f t="shared" si="21"/>
        <v>0</v>
      </c>
      <c r="W215" s="184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32"/>
      <c r="AW215" s="126">
        <f t="shared" si="31"/>
        <v>0</v>
      </c>
      <c r="AX215" s="39"/>
      <c r="AY215" s="39"/>
      <c r="AZ215" s="97">
        <f t="shared" si="47"/>
        <v>0</v>
      </c>
      <c r="BA215" s="98"/>
      <c r="BB215" s="97">
        <f t="shared" si="48"/>
        <v>0</v>
      </c>
      <c r="BC215" s="90"/>
      <c r="BD215" s="89">
        <f t="shared" si="50"/>
        <v>0</v>
      </c>
      <c r="BE215" s="98"/>
      <c r="BF215" s="89">
        <f t="shared" si="49"/>
        <v>0</v>
      </c>
      <c r="BG215" s="99"/>
      <c r="BH215" s="66"/>
      <c r="BI215" s="89">
        <f t="shared" si="0"/>
        <v>38.75</v>
      </c>
      <c r="BJ215" s="89">
        <f t="shared" si="7"/>
        <v>0</v>
      </c>
      <c r="BK215" s="89">
        <f t="shared" si="32"/>
        <v>0</v>
      </c>
      <c r="BL215" s="89">
        <f t="shared" si="26"/>
        <v>0</v>
      </c>
      <c r="BM215" s="89">
        <f t="shared" si="1"/>
        <v>27.5</v>
      </c>
      <c r="BN215" s="89">
        <f t="shared" si="9"/>
        <v>0</v>
      </c>
      <c r="BO215" s="89">
        <f t="shared" si="10"/>
        <v>0</v>
      </c>
      <c r="BP215" s="89">
        <f t="shared" si="27"/>
        <v>0</v>
      </c>
      <c r="BQ215" s="89">
        <f t="shared" si="2"/>
        <v>20</v>
      </c>
      <c r="BR215" s="89">
        <f t="shared" si="11"/>
        <v>0</v>
      </c>
      <c r="BS215" s="89">
        <f t="shared" si="12"/>
        <v>0</v>
      </c>
      <c r="BT215" s="89">
        <f t="shared" si="28"/>
        <v>0</v>
      </c>
      <c r="BU215" s="89">
        <f t="shared" si="3"/>
        <v>13.75</v>
      </c>
      <c r="BV215" s="89">
        <f t="shared" si="13"/>
        <v>0</v>
      </c>
      <c r="BW215" s="89">
        <f t="shared" si="14"/>
        <v>0</v>
      </c>
      <c r="BX215" s="89">
        <f t="shared" si="29"/>
        <v>0</v>
      </c>
      <c r="BY215" s="89" t="e">
        <f t="shared" si="4"/>
        <v>#REF!</v>
      </c>
      <c r="BZ215" s="89" t="e">
        <f t="shared" si="15"/>
        <v>#REF!</v>
      </c>
      <c r="CA215" s="89" t="e">
        <f t="shared" si="16"/>
        <v>#REF!</v>
      </c>
      <c r="CB215" s="89" t="e">
        <f t="shared" si="30"/>
        <v>#REF!</v>
      </c>
    </row>
    <row r="216" spans="1:80" ht="14.25" hidden="1" customHeight="1">
      <c r="A216" s="93">
        <v>209</v>
      </c>
      <c r="B216" s="82"/>
      <c r="C216" s="82"/>
      <c r="D216" s="100"/>
      <c r="E216" s="82"/>
      <c r="F216" s="82"/>
      <c r="G216" s="82"/>
      <c r="H216" s="82"/>
      <c r="I216" s="96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97">
        <f t="shared" si="21"/>
        <v>0</v>
      </c>
      <c r="W216" s="184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32"/>
      <c r="AW216" s="126">
        <f t="shared" si="31"/>
        <v>0</v>
      </c>
      <c r="AX216" s="39"/>
      <c r="AY216" s="39"/>
      <c r="AZ216" s="97">
        <f t="shared" si="47"/>
        <v>0</v>
      </c>
      <c r="BA216" s="98"/>
      <c r="BB216" s="97">
        <f t="shared" si="48"/>
        <v>0</v>
      </c>
      <c r="BC216" s="90"/>
      <c r="BD216" s="89">
        <f t="shared" si="50"/>
        <v>0</v>
      </c>
      <c r="BE216" s="98"/>
      <c r="BF216" s="89">
        <f t="shared" si="49"/>
        <v>0</v>
      </c>
      <c r="BG216" s="99"/>
      <c r="BH216" s="66"/>
      <c r="BI216" s="89">
        <f t="shared" si="0"/>
        <v>38.75</v>
      </c>
      <c r="BJ216" s="89">
        <f t="shared" si="7"/>
        <v>0</v>
      </c>
      <c r="BK216" s="89">
        <f t="shared" si="32"/>
        <v>0</v>
      </c>
      <c r="BL216" s="89">
        <f t="shared" si="26"/>
        <v>0</v>
      </c>
      <c r="BM216" s="89">
        <f t="shared" si="1"/>
        <v>27.5</v>
      </c>
      <c r="BN216" s="89">
        <f t="shared" si="9"/>
        <v>0</v>
      </c>
      <c r="BO216" s="89">
        <f t="shared" si="10"/>
        <v>0</v>
      </c>
      <c r="BP216" s="89">
        <f t="shared" si="27"/>
        <v>0</v>
      </c>
      <c r="BQ216" s="89">
        <f t="shared" si="2"/>
        <v>20</v>
      </c>
      <c r="BR216" s="89">
        <f t="shared" si="11"/>
        <v>0</v>
      </c>
      <c r="BS216" s="89">
        <f t="shared" si="12"/>
        <v>0</v>
      </c>
      <c r="BT216" s="89">
        <f t="shared" si="28"/>
        <v>0</v>
      </c>
      <c r="BU216" s="89">
        <f t="shared" si="3"/>
        <v>13.75</v>
      </c>
      <c r="BV216" s="89">
        <f t="shared" si="13"/>
        <v>0</v>
      </c>
      <c r="BW216" s="89">
        <f t="shared" si="14"/>
        <v>0</v>
      </c>
      <c r="BX216" s="89">
        <f t="shared" si="29"/>
        <v>0</v>
      </c>
      <c r="BY216" s="89" t="e">
        <f t="shared" si="4"/>
        <v>#REF!</v>
      </c>
      <c r="BZ216" s="89" t="e">
        <f t="shared" si="15"/>
        <v>#REF!</v>
      </c>
      <c r="CA216" s="89" t="e">
        <f t="shared" si="16"/>
        <v>#REF!</v>
      </c>
      <c r="CB216" s="89" t="e">
        <f t="shared" si="30"/>
        <v>#REF!</v>
      </c>
    </row>
    <row r="217" spans="1:80" ht="82.5" hidden="1" customHeight="1">
      <c r="A217" s="93">
        <v>210</v>
      </c>
      <c r="B217" s="82"/>
      <c r="C217" s="82"/>
      <c r="D217" s="100"/>
      <c r="E217" s="82"/>
      <c r="F217" s="82"/>
      <c r="G217" s="82"/>
      <c r="H217" s="82"/>
      <c r="I217" s="96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97">
        <f t="shared" si="21"/>
        <v>0</v>
      </c>
      <c r="W217" s="184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32"/>
      <c r="AW217" s="126">
        <f t="shared" si="31"/>
        <v>0</v>
      </c>
      <c r="AX217" s="39"/>
      <c r="AY217" s="39"/>
      <c r="AZ217" s="97">
        <f t="shared" si="47"/>
        <v>0</v>
      </c>
      <c r="BA217" s="98"/>
      <c r="BB217" s="97">
        <f t="shared" si="48"/>
        <v>0</v>
      </c>
      <c r="BC217" s="90"/>
      <c r="BD217" s="89">
        <f t="shared" si="50"/>
        <v>0</v>
      </c>
      <c r="BE217" s="98"/>
      <c r="BF217" s="89">
        <f t="shared" si="49"/>
        <v>0</v>
      </c>
      <c r="BG217" s="99"/>
      <c r="BH217" s="66"/>
      <c r="BI217" s="89">
        <f t="shared" si="0"/>
        <v>38.75</v>
      </c>
      <c r="BJ217" s="89">
        <f t="shared" si="7"/>
        <v>0</v>
      </c>
      <c r="BK217" s="89">
        <f t="shared" si="32"/>
        <v>0</v>
      </c>
      <c r="BL217" s="89">
        <f t="shared" si="26"/>
        <v>0</v>
      </c>
      <c r="BM217" s="89">
        <f t="shared" si="1"/>
        <v>27.5</v>
      </c>
      <c r="BN217" s="89">
        <f t="shared" si="9"/>
        <v>0</v>
      </c>
      <c r="BO217" s="89">
        <f t="shared" si="10"/>
        <v>0</v>
      </c>
      <c r="BP217" s="89">
        <f t="shared" si="27"/>
        <v>0</v>
      </c>
      <c r="BQ217" s="89">
        <f t="shared" si="2"/>
        <v>20</v>
      </c>
      <c r="BR217" s="89">
        <f t="shared" si="11"/>
        <v>0</v>
      </c>
      <c r="BS217" s="89">
        <f t="shared" si="12"/>
        <v>0</v>
      </c>
      <c r="BT217" s="89">
        <f t="shared" si="28"/>
        <v>0</v>
      </c>
      <c r="BU217" s="89">
        <f t="shared" si="3"/>
        <v>13.75</v>
      </c>
      <c r="BV217" s="89">
        <f t="shared" si="13"/>
        <v>0</v>
      </c>
      <c r="BW217" s="89">
        <f t="shared" si="14"/>
        <v>0</v>
      </c>
      <c r="BX217" s="89">
        <f t="shared" si="29"/>
        <v>0</v>
      </c>
      <c r="BY217" s="89" t="e">
        <f t="shared" si="4"/>
        <v>#REF!</v>
      </c>
      <c r="BZ217" s="89" t="e">
        <f t="shared" si="15"/>
        <v>#REF!</v>
      </c>
      <c r="CA217" s="89" t="e">
        <f t="shared" si="16"/>
        <v>#REF!</v>
      </c>
      <c r="CB217" s="89" t="e">
        <f t="shared" si="30"/>
        <v>#REF!</v>
      </c>
    </row>
    <row r="218" spans="1:80" ht="14.25" hidden="1" customHeight="1">
      <c r="A218" s="93">
        <v>211</v>
      </c>
      <c r="B218" s="82"/>
      <c r="C218" s="82"/>
      <c r="D218" s="100"/>
      <c r="E218" s="82"/>
      <c r="F218" s="82"/>
      <c r="G218" s="82"/>
      <c r="H218" s="82"/>
      <c r="I218" s="96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97">
        <f t="shared" si="21"/>
        <v>0</v>
      </c>
      <c r="W218" s="184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32"/>
      <c r="AW218" s="126">
        <f t="shared" si="31"/>
        <v>0</v>
      </c>
      <c r="AX218" s="39"/>
      <c r="AY218" s="39"/>
      <c r="AZ218" s="97">
        <f t="shared" si="47"/>
        <v>0</v>
      </c>
      <c r="BA218" s="98"/>
      <c r="BB218" s="97">
        <f t="shared" si="48"/>
        <v>0</v>
      </c>
      <c r="BC218" s="90"/>
      <c r="BD218" s="89">
        <f t="shared" si="50"/>
        <v>0</v>
      </c>
      <c r="BE218" s="98"/>
      <c r="BF218" s="89">
        <f t="shared" si="49"/>
        <v>0</v>
      </c>
      <c r="BG218" s="99"/>
      <c r="BH218" s="66"/>
      <c r="BI218" s="89">
        <f t="shared" si="0"/>
        <v>38.75</v>
      </c>
      <c r="BJ218" s="89">
        <f t="shared" si="7"/>
        <v>0</v>
      </c>
      <c r="BK218" s="89">
        <f t="shared" si="32"/>
        <v>0</v>
      </c>
      <c r="BL218" s="89">
        <f t="shared" si="26"/>
        <v>0</v>
      </c>
      <c r="BM218" s="89">
        <f t="shared" si="1"/>
        <v>27.5</v>
      </c>
      <c r="BN218" s="89">
        <f t="shared" si="9"/>
        <v>0</v>
      </c>
      <c r="BO218" s="89">
        <f t="shared" si="10"/>
        <v>0</v>
      </c>
      <c r="BP218" s="89">
        <f t="shared" si="27"/>
        <v>0</v>
      </c>
      <c r="BQ218" s="89">
        <f t="shared" si="2"/>
        <v>20</v>
      </c>
      <c r="BR218" s="89">
        <f t="shared" si="11"/>
        <v>0</v>
      </c>
      <c r="BS218" s="89">
        <f t="shared" si="12"/>
        <v>0</v>
      </c>
      <c r="BT218" s="89">
        <f t="shared" si="28"/>
        <v>0</v>
      </c>
      <c r="BU218" s="89">
        <f t="shared" si="3"/>
        <v>13.75</v>
      </c>
      <c r="BV218" s="89">
        <f t="shared" si="13"/>
        <v>0</v>
      </c>
      <c r="BW218" s="89">
        <f t="shared" si="14"/>
        <v>0</v>
      </c>
      <c r="BX218" s="89">
        <f t="shared" si="29"/>
        <v>0</v>
      </c>
      <c r="BY218" s="89" t="e">
        <f t="shared" si="4"/>
        <v>#REF!</v>
      </c>
      <c r="BZ218" s="89" t="e">
        <f t="shared" si="15"/>
        <v>#REF!</v>
      </c>
      <c r="CA218" s="89" t="e">
        <f t="shared" si="16"/>
        <v>#REF!</v>
      </c>
      <c r="CB218" s="89" t="e">
        <f t="shared" si="30"/>
        <v>#REF!</v>
      </c>
    </row>
    <row r="219" spans="1:80" ht="14.25" hidden="1" customHeight="1">
      <c r="A219" s="93">
        <v>212</v>
      </c>
      <c r="B219" s="82"/>
      <c r="C219" s="82"/>
      <c r="D219" s="100"/>
      <c r="E219" s="82"/>
      <c r="F219" s="82"/>
      <c r="G219" s="82"/>
      <c r="H219" s="82"/>
      <c r="I219" s="96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97">
        <f t="shared" si="21"/>
        <v>0</v>
      </c>
      <c r="W219" s="184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32"/>
      <c r="AW219" s="126">
        <f t="shared" si="31"/>
        <v>0</v>
      </c>
      <c r="AX219" s="39"/>
      <c r="AY219" s="39"/>
      <c r="AZ219" s="97">
        <f t="shared" si="47"/>
        <v>0</v>
      </c>
      <c r="BA219" s="98"/>
      <c r="BB219" s="97">
        <f t="shared" si="48"/>
        <v>0</v>
      </c>
      <c r="BC219" s="90"/>
      <c r="BD219" s="89">
        <f t="shared" si="50"/>
        <v>0</v>
      </c>
      <c r="BE219" s="98"/>
      <c r="BF219" s="89">
        <f t="shared" si="49"/>
        <v>0</v>
      </c>
      <c r="BG219" s="99"/>
      <c r="BH219" s="66"/>
      <c r="BI219" s="89">
        <f t="shared" si="0"/>
        <v>38.75</v>
      </c>
      <c r="BJ219" s="89">
        <f t="shared" si="7"/>
        <v>0</v>
      </c>
      <c r="BK219" s="89">
        <f t="shared" si="32"/>
        <v>0</v>
      </c>
      <c r="BL219" s="89">
        <f t="shared" si="26"/>
        <v>0</v>
      </c>
      <c r="BM219" s="89">
        <f t="shared" si="1"/>
        <v>27.5</v>
      </c>
      <c r="BN219" s="89">
        <f t="shared" si="9"/>
        <v>0</v>
      </c>
      <c r="BO219" s="89">
        <f t="shared" si="10"/>
        <v>0</v>
      </c>
      <c r="BP219" s="89">
        <f t="shared" si="27"/>
        <v>0</v>
      </c>
      <c r="BQ219" s="89">
        <f t="shared" si="2"/>
        <v>20</v>
      </c>
      <c r="BR219" s="89">
        <f t="shared" si="11"/>
        <v>0</v>
      </c>
      <c r="BS219" s="89">
        <f t="shared" si="12"/>
        <v>0</v>
      </c>
      <c r="BT219" s="89">
        <f t="shared" si="28"/>
        <v>0</v>
      </c>
      <c r="BU219" s="89">
        <f t="shared" si="3"/>
        <v>13.75</v>
      </c>
      <c r="BV219" s="89">
        <f t="shared" si="13"/>
        <v>0</v>
      </c>
      <c r="BW219" s="89">
        <f t="shared" si="14"/>
        <v>0</v>
      </c>
      <c r="BX219" s="89">
        <f t="shared" si="29"/>
        <v>0</v>
      </c>
      <c r="BY219" s="89" t="e">
        <f t="shared" si="4"/>
        <v>#REF!</v>
      </c>
      <c r="BZ219" s="89" t="e">
        <f t="shared" si="15"/>
        <v>#REF!</v>
      </c>
      <c r="CA219" s="89" t="e">
        <f t="shared" si="16"/>
        <v>#REF!</v>
      </c>
      <c r="CB219" s="89" t="e">
        <f t="shared" si="30"/>
        <v>#REF!</v>
      </c>
    </row>
    <row r="220" spans="1:80" ht="14.25" hidden="1" customHeight="1">
      <c r="A220" s="93">
        <v>213</v>
      </c>
      <c r="B220" s="82"/>
      <c r="C220" s="82"/>
      <c r="D220" s="100"/>
      <c r="E220" s="82"/>
      <c r="F220" s="82"/>
      <c r="G220" s="82"/>
      <c r="H220" s="82"/>
      <c r="I220" s="96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97">
        <f t="shared" si="21"/>
        <v>0</v>
      </c>
      <c r="W220" s="184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32"/>
      <c r="AW220" s="126">
        <f t="shared" si="31"/>
        <v>0</v>
      </c>
      <c r="AX220" s="39"/>
      <c r="AY220" s="39"/>
      <c r="AZ220" s="97">
        <f t="shared" si="47"/>
        <v>0</v>
      </c>
      <c r="BA220" s="98"/>
      <c r="BB220" s="97">
        <f t="shared" si="48"/>
        <v>0</v>
      </c>
      <c r="BC220" s="90"/>
      <c r="BD220" s="89">
        <f t="shared" si="50"/>
        <v>0</v>
      </c>
      <c r="BE220" s="98"/>
      <c r="BF220" s="89">
        <f t="shared" si="49"/>
        <v>0</v>
      </c>
      <c r="BG220" s="99"/>
      <c r="BH220" s="66"/>
      <c r="BI220" s="89">
        <f t="shared" si="0"/>
        <v>38.75</v>
      </c>
      <c r="BJ220" s="89">
        <f t="shared" si="7"/>
        <v>0</v>
      </c>
      <c r="BK220" s="89">
        <f t="shared" si="32"/>
        <v>0</v>
      </c>
      <c r="BL220" s="89">
        <f t="shared" si="26"/>
        <v>0</v>
      </c>
      <c r="BM220" s="89">
        <f t="shared" si="1"/>
        <v>27.5</v>
      </c>
      <c r="BN220" s="89">
        <f t="shared" si="9"/>
        <v>0</v>
      </c>
      <c r="BO220" s="89">
        <f t="shared" si="10"/>
        <v>0</v>
      </c>
      <c r="BP220" s="89">
        <f t="shared" si="27"/>
        <v>0</v>
      </c>
      <c r="BQ220" s="89">
        <f t="shared" si="2"/>
        <v>20</v>
      </c>
      <c r="BR220" s="89">
        <f t="shared" si="11"/>
        <v>0</v>
      </c>
      <c r="BS220" s="89">
        <f t="shared" si="12"/>
        <v>0</v>
      </c>
      <c r="BT220" s="89">
        <f t="shared" si="28"/>
        <v>0</v>
      </c>
      <c r="BU220" s="89">
        <f t="shared" si="3"/>
        <v>13.75</v>
      </c>
      <c r="BV220" s="89">
        <f t="shared" si="13"/>
        <v>0</v>
      </c>
      <c r="BW220" s="89">
        <f t="shared" si="14"/>
        <v>0</v>
      </c>
      <c r="BX220" s="89">
        <f t="shared" si="29"/>
        <v>0</v>
      </c>
      <c r="BY220" s="89" t="e">
        <f t="shared" si="4"/>
        <v>#REF!</v>
      </c>
      <c r="BZ220" s="89" t="e">
        <f t="shared" si="15"/>
        <v>#REF!</v>
      </c>
      <c r="CA220" s="89" t="e">
        <f t="shared" si="16"/>
        <v>#REF!</v>
      </c>
      <c r="CB220" s="89" t="e">
        <f t="shared" si="30"/>
        <v>#REF!</v>
      </c>
    </row>
    <row r="221" spans="1:80" ht="14.25" hidden="1" customHeight="1">
      <c r="A221" s="93">
        <v>214</v>
      </c>
      <c r="B221" s="82"/>
      <c r="C221" s="82"/>
      <c r="D221" s="100"/>
      <c r="E221" s="82"/>
      <c r="F221" s="82"/>
      <c r="G221" s="82"/>
      <c r="H221" s="82"/>
      <c r="I221" s="96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97">
        <f t="shared" si="21"/>
        <v>0</v>
      </c>
      <c r="W221" s="184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32"/>
      <c r="AW221" s="126">
        <f t="shared" si="31"/>
        <v>0</v>
      </c>
      <c r="AX221" s="39"/>
      <c r="AY221" s="39"/>
      <c r="AZ221" s="97">
        <f t="shared" si="47"/>
        <v>0</v>
      </c>
      <c r="BA221" s="98"/>
      <c r="BB221" s="97">
        <f t="shared" si="48"/>
        <v>0</v>
      </c>
      <c r="BC221" s="90"/>
      <c r="BD221" s="89">
        <f t="shared" si="50"/>
        <v>0</v>
      </c>
      <c r="BE221" s="98"/>
      <c r="BF221" s="89">
        <f t="shared" si="49"/>
        <v>0</v>
      </c>
      <c r="BG221" s="99"/>
      <c r="BH221" s="66"/>
      <c r="BI221" s="89">
        <f t="shared" si="0"/>
        <v>38.75</v>
      </c>
      <c r="BJ221" s="89">
        <f t="shared" si="7"/>
        <v>0</v>
      </c>
      <c r="BK221" s="89">
        <f t="shared" si="32"/>
        <v>0</v>
      </c>
      <c r="BL221" s="89">
        <f t="shared" si="26"/>
        <v>0</v>
      </c>
      <c r="BM221" s="89">
        <f t="shared" si="1"/>
        <v>27.5</v>
      </c>
      <c r="BN221" s="89">
        <f t="shared" si="9"/>
        <v>0</v>
      </c>
      <c r="BO221" s="89">
        <f t="shared" si="10"/>
        <v>0</v>
      </c>
      <c r="BP221" s="89">
        <f t="shared" si="27"/>
        <v>0</v>
      </c>
      <c r="BQ221" s="89">
        <f t="shared" si="2"/>
        <v>20</v>
      </c>
      <c r="BR221" s="89">
        <f t="shared" si="11"/>
        <v>0</v>
      </c>
      <c r="BS221" s="89">
        <f t="shared" si="12"/>
        <v>0</v>
      </c>
      <c r="BT221" s="89">
        <f t="shared" si="28"/>
        <v>0</v>
      </c>
      <c r="BU221" s="89">
        <f t="shared" si="3"/>
        <v>13.75</v>
      </c>
      <c r="BV221" s="89">
        <f t="shared" si="13"/>
        <v>0</v>
      </c>
      <c r="BW221" s="89">
        <f t="shared" si="14"/>
        <v>0</v>
      </c>
      <c r="BX221" s="89">
        <f t="shared" si="29"/>
        <v>0</v>
      </c>
      <c r="BY221" s="89" t="e">
        <f t="shared" si="4"/>
        <v>#REF!</v>
      </c>
      <c r="BZ221" s="89" t="e">
        <f t="shared" si="15"/>
        <v>#REF!</v>
      </c>
      <c r="CA221" s="89" t="e">
        <f t="shared" si="16"/>
        <v>#REF!</v>
      </c>
      <c r="CB221" s="89" t="e">
        <f t="shared" si="30"/>
        <v>#REF!</v>
      </c>
    </row>
    <row r="222" spans="1:80" ht="15" customHeight="1">
      <c r="A222" s="65"/>
      <c r="B222" s="39"/>
      <c r="C222" s="81" t="s">
        <v>113</v>
      </c>
      <c r="D222" s="109">
        <v>27</v>
      </c>
      <c r="E222" s="40"/>
      <c r="F222" s="40"/>
      <c r="G222" s="40"/>
      <c r="H222" s="40"/>
      <c r="I222" s="65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32"/>
      <c r="AW222" s="126">
        <f t="shared" si="31"/>
        <v>0</v>
      </c>
      <c r="AX222" s="40"/>
      <c r="AY222" s="66"/>
      <c r="AZ222" s="110"/>
      <c r="BA222" s="110"/>
      <c r="BB222" s="110"/>
      <c r="BC222" s="110"/>
      <c r="BD222" s="110"/>
      <c r="BE222" s="110"/>
      <c r="BF222" s="110"/>
      <c r="BG222" s="66"/>
      <c r="BH222" s="66"/>
      <c r="BI222" s="246" t="s">
        <v>114</v>
      </c>
      <c r="BJ222" s="247"/>
      <c r="BK222" s="248"/>
      <c r="BL222" s="111">
        <f>COUNTIF(BL8:BL125,1)</f>
        <v>15</v>
      </c>
      <c r="BM222" s="249" t="s">
        <v>114</v>
      </c>
      <c r="BN222" s="243"/>
      <c r="BO222" s="250"/>
      <c r="BP222" s="111">
        <f>COUNTIF(BP8:BP125,1)</f>
        <v>20</v>
      </c>
      <c r="BQ222" s="249" t="s">
        <v>114</v>
      </c>
      <c r="BR222" s="243"/>
      <c r="BS222" s="250"/>
      <c r="BT222" s="111">
        <f>COUNTIF(BT8:BT125,1)</f>
        <v>21</v>
      </c>
      <c r="BU222" s="249" t="s">
        <v>114</v>
      </c>
      <c r="BV222" s="243"/>
      <c r="BW222" s="250"/>
      <c r="BX222" s="111">
        <f>COUNTIF(BX8:BX125,1)</f>
        <v>19</v>
      </c>
      <c r="BY222" s="245" t="s">
        <v>114</v>
      </c>
      <c r="BZ222" s="219"/>
      <c r="CA222" s="209"/>
      <c r="CB222" s="111">
        <f>COUNTIF(CB8:CB125,1)</f>
        <v>0</v>
      </c>
    </row>
    <row r="223" spans="1:80" ht="14.25" customHeight="1">
      <c r="A223" s="65"/>
      <c r="B223" s="40"/>
      <c r="C223" s="40"/>
      <c r="D223" s="65"/>
      <c r="E223" s="40"/>
      <c r="F223" s="40"/>
      <c r="G223" s="40"/>
      <c r="H223" s="40"/>
      <c r="I223" s="65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32"/>
      <c r="AW223" s="126">
        <f t="shared" si="31"/>
        <v>0</v>
      </c>
      <c r="AX223" s="40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246" t="s">
        <v>115</v>
      </c>
      <c r="BJ223" s="247"/>
      <c r="BK223" s="248"/>
      <c r="BL223" s="112">
        <f>IF(SUM(D6:G6)&gt;0,BL222*100/D222," ")</f>
        <v>55.555555555555557</v>
      </c>
      <c r="BM223" s="249" t="s">
        <v>115</v>
      </c>
      <c r="BN223" s="243"/>
      <c r="BO223" s="250"/>
      <c r="BP223" s="112">
        <f>IF(SUM(I6:O6)&gt;0,(BP222/D222)*100," ")</f>
        <v>74.074074074074076</v>
      </c>
      <c r="BQ223" s="249" t="s">
        <v>115</v>
      </c>
      <c r="BR223" s="243"/>
      <c r="BS223" s="250"/>
      <c r="BT223" s="112">
        <f>IF(SUM(P6:S6)&gt;0,(BT222/D222)*100," ")</f>
        <v>77.777777777777786</v>
      </c>
      <c r="BU223" s="249" t="s">
        <v>115</v>
      </c>
      <c r="BV223" s="243"/>
      <c r="BW223" s="250"/>
      <c r="BX223" s="112">
        <f>IF(SUM(T6:U6)&gt;0,(BX222/D222)*100,"")</f>
        <v>70.370370370370367</v>
      </c>
      <c r="BY223" s="245" t="s">
        <v>115</v>
      </c>
      <c r="BZ223" s="219"/>
      <c r="CA223" s="209"/>
      <c r="CB223" s="112"/>
    </row>
    <row r="224" spans="1:80" ht="14.25" customHeight="1">
      <c r="A224" s="65"/>
      <c r="B224" s="40"/>
      <c r="C224" s="40"/>
      <c r="D224" s="65"/>
      <c r="E224" s="40"/>
      <c r="F224" s="40"/>
      <c r="G224" s="40"/>
      <c r="H224" s="40"/>
      <c r="I224" s="65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33"/>
      <c r="AW224" s="126">
        <f t="shared" si="31"/>
        <v>0</v>
      </c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</row>
    <row r="225" spans="1:80" ht="14.25" customHeight="1">
      <c r="A225" s="65"/>
      <c r="B225" s="40"/>
      <c r="C225" s="40"/>
      <c r="D225" s="65"/>
      <c r="E225" s="40"/>
      <c r="F225" s="40"/>
      <c r="G225" s="40"/>
      <c r="H225" s="40"/>
      <c r="I225" s="65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33"/>
      <c r="AW225" s="126">
        <f t="shared" si="31"/>
        <v>0</v>
      </c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</row>
    <row r="226" spans="1:80" ht="14.25" customHeight="1">
      <c r="A226" s="65"/>
      <c r="B226" s="40"/>
      <c r="C226" s="40"/>
      <c r="D226" s="65"/>
      <c r="E226" s="40"/>
      <c r="F226" s="40"/>
      <c r="G226" s="40"/>
      <c r="H226" s="40"/>
      <c r="I226" s="65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33"/>
      <c r="AW226" s="126">
        <f t="shared" si="31"/>
        <v>0</v>
      </c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</row>
    <row r="227" spans="1:80" ht="14.25" customHeight="1">
      <c r="A227" s="65"/>
      <c r="B227" s="40"/>
      <c r="C227" s="40"/>
      <c r="D227" s="65"/>
      <c r="E227" s="40"/>
      <c r="F227" s="40"/>
      <c r="G227" s="40"/>
      <c r="H227" s="40"/>
      <c r="I227" s="65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33"/>
      <c r="AW227" s="126">
        <f t="shared" si="31"/>
        <v>0</v>
      </c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</row>
    <row r="228" spans="1:80" ht="14.25" customHeight="1">
      <c r="A228" s="65"/>
      <c r="B228" s="40"/>
      <c r="C228" s="40"/>
      <c r="D228" s="65"/>
      <c r="E228" s="40"/>
      <c r="F228" s="40"/>
      <c r="G228" s="40"/>
      <c r="H228" s="40"/>
      <c r="I228" s="65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134">
        <f>'CO Assessment'!X222</f>
        <v>0</v>
      </c>
      <c r="AS228" s="135"/>
      <c r="AW228" s="113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</row>
    <row r="229" spans="1:80" ht="14.25" customHeight="1">
      <c r="A229" s="65"/>
      <c r="B229" s="40"/>
      <c r="C229" s="40"/>
      <c r="D229" s="65"/>
      <c r="E229" s="40"/>
      <c r="F229" s="40"/>
      <c r="G229" s="40"/>
      <c r="H229" s="40"/>
      <c r="I229" s="65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80" ht="14.25" customHeight="1">
      <c r="A230" s="65"/>
      <c r="B230" s="40"/>
      <c r="C230" s="40"/>
      <c r="D230" s="65"/>
      <c r="E230" s="40"/>
      <c r="F230" s="40"/>
      <c r="G230" s="40"/>
      <c r="H230" s="40"/>
      <c r="I230" s="65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80" ht="14.25" customHeight="1">
      <c r="A231" s="65"/>
      <c r="B231" s="40"/>
      <c r="C231" s="40"/>
      <c r="D231" s="65"/>
      <c r="E231" s="40"/>
      <c r="F231" s="40"/>
      <c r="G231" s="40"/>
      <c r="H231" s="40"/>
      <c r="I231" s="65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80" ht="14.25" customHeight="1">
      <c r="A232" s="65"/>
      <c r="B232" s="40"/>
      <c r="C232" s="40"/>
      <c r="D232" s="65"/>
      <c r="E232" s="40"/>
      <c r="F232" s="40"/>
      <c r="G232" s="40"/>
      <c r="H232" s="40"/>
      <c r="I232" s="65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80" ht="14.25" customHeight="1">
      <c r="A233" s="65"/>
      <c r="B233" s="40"/>
      <c r="C233" s="40"/>
      <c r="D233" s="65"/>
      <c r="E233" s="40"/>
      <c r="F233" s="40"/>
      <c r="G233" s="40"/>
      <c r="H233" s="40"/>
      <c r="I233" s="65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80" ht="14.25" customHeight="1">
      <c r="A234" s="65"/>
      <c r="B234" s="40"/>
      <c r="C234" s="40"/>
      <c r="D234" s="65"/>
      <c r="E234" s="40"/>
      <c r="F234" s="40"/>
      <c r="G234" s="40"/>
      <c r="H234" s="40"/>
      <c r="I234" s="65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80" ht="14.25" customHeight="1">
      <c r="A235" s="65"/>
      <c r="B235" s="40"/>
      <c r="C235" s="40"/>
      <c r="D235" s="65"/>
      <c r="E235" s="40"/>
      <c r="F235" s="40"/>
      <c r="G235" s="40"/>
      <c r="H235" s="40"/>
      <c r="I235" s="65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80" ht="14.25" customHeight="1">
      <c r="A236" s="65"/>
      <c r="B236" s="40"/>
      <c r="C236" s="40"/>
      <c r="D236" s="65"/>
      <c r="E236" s="40"/>
      <c r="F236" s="40"/>
      <c r="G236" s="40"/>
      <c r="H236" s="40"/>
      <c r="I236" s="65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80" ht="14.25" customHeight="1">
      <c r="A237" s="65"/>
      <c r="B237" s="40"/>
      <c r="C237" s="40"/>
      <c r="D237" s="65"/>
      <c r="E237" s="40"/>
      <c r="F237" s="40"/>
      <c r="G237" s="40"/>
      <c r="H237" s="40"/>
      <c r="I237" s="65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80" ht="14.25" customHeight="1">
      <c r="A238" s="65"/>
      <c r="B238" s="40"/>
      <c r="C238" s="40"/>
      <c r="D238" s="65"/>
      <c r="E238" s="40"/>
      <c r="F238" s="40"/>
      <c r="G238" s="40"/>
      <c r="H238" s="40"/>
      <c r="I238" s="65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80" ht="14.25" customHeight="1">
      <c r="A239" s="65"/>
      <c r="B239" s="40"/>
      <c r="C239" s="40"/>
      <c r="D239" s="65"/>
      <c r="E239" s="40"/>
      <c r="F239" s="40"/>
      <c r="G239" s="40"/>
      <c r="H239" s="40"/>
      <c r="I239" s="65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80" ht="14.25" customHeight="1">
      <c r="A240" s="65"/>
      <c r="B240" s="40"/>
      <c r="C240" s="40"/>
      <c r="D240" s="65"/>
      <c r="E240" s="40"/>
      <c r="F240" s="40"/>
      <c r="G240" s="40"/>
      <c r="H240" s="40"/>
      <c r="I240" s="65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ht="14.25" customHeight="1">
      <c r="A241" s="65"/>
      <c r="B241" s="40"/>
      <c r="C241" s="40"/>
      <c r="D241" s="65"/>
      <c r="E241" s="40"/>
      <c r="F241" s="40"/>
      <c r="G241" s="40"/>
      <c r="H241" s="40"/>
      <c r="I241" s="65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ht="14.25" customHeight="1">
      <c r="A242" s="65"/>
      <c r="B242" s="40"/>
      <c r="C242" s="40"/>
      <c r="D242" s="65"/>
      <c r="E242" s="40"/>
      <c r="F242" s="40"/>
      <c r="G242" s="40"/>
      <c r="H242" s="40"/>
      <c r="I242" s="65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ht="14.25" customHeight="1">
      <c r="A243" s="65"/>
      <c r="B243" s="40"/>
      <c r="C243" s="40"/>
      <c r="D243" s="65"/>
      <c r="E243" s="40"/>
      <c r="F243" s="40"/>
      <c r="G243" s="40"/>
      <c r="H243" s="40"/>
      <c r="I243" s="65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ht="14.25" customHeight="1">
      <c r="A244" s="65"/>
      <c r="B244" s="40"/>
      <c r="C244" s="40"/>
      <c r="D244" s="65"/>
      <c r="E244" s="40"/>
      <c r="F244" s="40"/>
      <c r="G244" s="40"/>
      <c r="H244" s="40"/>
      <c r="I244" s="65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ht="14.25" customHeight="1">
      <c r="A245" s="65"/>
      <c r="B245" s="40"/>
      <c r="C245" s="40"/>
      <c r="D245" s="65"/>
      <c r="E245" s="40"/>
      <c r="F245" s="40"/>
      <c r="G245" s="40"/>
      <c r="H245" s="40"/>
      <c r="I245" s="65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ht="14.25" customHeight="1">
      <c r="A246" s="65"/>
      <c r="B246" s="40"/>
      <c r="C246" s="40"/>
      <c r="D246" s="65"/>
      <c r="E246" s="40"/>
      <c r="F246" s="40"/>
      <c r="G246" s="40"/>
      <c r="H246" s="40"/>
      <c r="I246" s="65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ht="14.25" customHeight="1">
      <c r="A247" s="65"/>
      <c r="B247" s="40"/>
      <c r="C247" s="40"/>
      <c r="D247" s="65"/>
      <c r="E247" s="40"/>
      <c r="F247" s="40"/>
      <c r="G247" s="40"/>
      <c r="H247" s="40"/>
      <c r="I247" s="65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ht="14.25" customHeight="1">
      <c r="A248" s="65"/>
      <c r="B248" s="40"/>
      <c r="C248" s="40"/>
      <c r="D248" s="65"/>
      <c r="E248" s="40"/>
      <c r="F248" s="40"/>
      <c r="G248" s="40"/>
      <c r="H248" s="40"/>
      <c r="I248" s="65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ht="14.25" customHeight="1">
      <c r="A249" s="65"/>
      <c r="B249" s="40"/>
      <c r="C249" s="40"/>
      <c r="D249" s="65"/>
      <c r="E249" s="40"/>
      <c r="F249" s="40"/>
      <c r="G249" s="40"/>
      <c r="H249" s="40"/>
      <c r="I249" s="65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ht="14.25" customHeight="1">
      <c r="A250" s="65"/>
      <c r="B250" s="40"/>
      <c r="C250" s="40"/>
      <c r="D250" s="65"/>
      <c r="E250" s="40"/>
      <c r="F250" s="40"/>
      <c r="G250" s="40"/>
      <c r="H250" s="40"/>
      <c r="I250" s="65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ht="14.25" customHeight="1">
      <c r="A251" s="65"/>
      <c r="B251" s="40"/>
      <c r="C251" s="40"/>
      <c r="D251" s="65"/>
      <c r="E251" s="40"/>
      <c r="F251" s="40"/>
      <c r="G251" s="40"/>
      <c r="H251" s="40"/>
      <c r="I251" s="65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ht="14.25" customHeight="1">
      <c r="A252" s="65"/>
      <c r="B252" s="40"/>
      <c r="C252" s="40"/>
      <c r="D252" s="65"/>
      <c r="E252" s="40"/>
      <c r="F252" s="40"/>
      <c r="G252" s="40"/>
      <c r="H252" s="40"/>
      <c r="I252" s="65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ht="14.25" customHeight="1">
      <c r="A253" s="65"/>
      <c r="B253" s="40"/>
      <c r="C253" s="40"/>
      <c r="D253" s="65"/>
      <c r="E253" s="40"/>
      <c r="F253" s="40"/>
      <c r="G253" s="40"/>
      <c r="H253" s="40"/>
      <c r="I253" s="65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ht="14.25" customHeight="1">
      <c r="A254" s="65"/>
      <c r="B254" s="40"/>
      <c r="C254" s="40"/>
      <c r="D254" s="65"/>
      <c r="E254" s="40"/>
      <c r="F254" s="40"/>
      <c r="G254" s="40"/>
      <c r="H254" s="40"/>
      <c r="I254" s="65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ht="14.25" customHeight="1">
      <c r="A255" s="65"/>
      <c r="B255" s="40"/>
      <c r="C255" s="40"/>
      <c r="D255" s="65"/>
      <c r="E255" s="40"/>
      <c r="F255" s="40"/>
      <c r="G255" s="40"/>
      <c r="H255" s="40"/>
      <c r="I255" s="65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ht="14.25" customHeight="1">
      <c r="A256" s="65"/>
      <c r="B256" s="40"/>
      <c r="C256" s="40"/>
      <c r="D256" s="65"/>
      <c r="E256" s="40"/>
      <c r="F256" s="40"/>
      <c r="G256" s="40"/>
      <c r="H256" s="40"/>
      <c r="I256" s="65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ht="14.25" customHeight="1">
      <c r="A257" s="65"/>
      <c r="B257" s="40"/>
      <c r="C257" s="40"/>
      <c r="D257" s="65"/>
      <c r="E257" s="40"/>
      <c r="F257" s="40"/>
      <c r="G257" s="40"/>
      <c r="H257" s="40"/>
      <c r="I257" s="65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ht="14.25" customHeight="1">
      <c r="A258" s="65"/>
      <c r="B258" s="40"/>
      <c r="C258" s="40"/>
      <c r="D258" s="65"/>
      <c r="E258" s="40"/>
      <c r="F258" s="40"/>
      <c r="G258" s="40"/>
      <c r="H258" s="40"/>
      <c r="I258" s="65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ht="14.25" customHeight="1">
      <c r="A259" s="65"/>
      <c r="B259" s="40"/>
      <c r="C259" s="40"/>
      <c r="D259" s="65"/>
      <c r="E259" s="40"/>
      <c r="F259" s="40"/>
      <c r="G259" s="40"/>
      <c r="H259" s="40"/>
      <c r="I259" s="65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ht="14.25" customHeight="1">
      <c r="A260" s="65"/>
      <c r="B260" s="40"/>
      <c r="C260" s="40"/>
      <c r="D260" s="65"/>
      <c r="E260" s="40"/>
      <c r="F260" s="40"/>
      <c r="G260" s="40"/>
      <c r="H260" s="40"/>
      <c r="I260" s="65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ht="14.25" customHeight="1">
      <c r="A261" s="65"/>
      <c r="B261" s="40"/>
      <c r="C261" s="40"/>
      <c r="D261" s="65"/>
      <c r="E261" s="40"/>
      <c r="F261" s="40"/>
      <c r="G261" s="40"/>
      <c r="H261" s="40"/>
      <c r="I261" s="65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ht="14.25" customHeight="1">
      <c r="A262" s="65"/>
      <c r="B262" s="40"/>
      <c r="C262" s="40"/>
      <c r="D262" s="65"/>
      <c r="E262" s="40"/>
      <c r="F262" s="40"/>
      <c r="G262" s="40"/>
      <c r="H262" s="40"/>
      <c r="I262" s="65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ht="14.25" customHeight="1">
      <c r="A263" s="65"/>
      <c r="B263" s="40"/>
      <c r="C263" s="40"/>
      <c r="D263" s="65"/>
      <c r="E263" s="40"/>
      <c r="F263" s="40"/>
      <c r="G263" s="40"/>
      <c r="H263" s="40"/>
      <c r="I263" s="65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ht="14.25" customHeight="1">
      <c r="A264" s="65"/>
      <c r="B264" s="40"/>
      <c r="C264" s="40"/>
      <c r="D264" s="65"/>
      <c r="E264" s="40"/>
      <c r="F264" s="40"/>
      <c r="G264" s="40"/>
      <c r="H264" s="40"/>
      <c r="I264" s="65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ht="14.25" customHeight="1">
      <c r="A265" s="65"/>
      <c r="B265" s="40"/>
      <c r="C265" s="40"/>
      <c r="D265" s="65"/>
      <c r="E265" s="40"/>
      <c r="F265" s="40"/>
      <c r="G265" s="40"/>
      <c r="H265" s="40"/>
      <c r="I265" s="65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ht="14.25" customHeight="1">
      <c r="A266" s="65"/>
      <c r="B266" s="40"/>
      <c r="C266" s="40"/>
      <c r="D266" s="65"/>
      <c r="E266" s="40"/>
      <c r="F266" s="40"/>
      <c r="G266" s="40"/>
      <c r="H266" s="40"/>
      <c r="I266" s="65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ht="14.25" customHeight="1">
      <c r="A267" s="65"/>
      <c r="B267" s="40"/>
      <c r="C267" s="40"/>
      <c r="D267" s="65"/>
      <c r="E267" s="40"/>
      <c r="F267" s="40"/>
      <c r="G267" s="40"/>
      <c r="H267" s="40"/>
      <c r="I267" s="65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ht="14.25" customHeight="1">
      <c r="A268" s="65"/>
      <c r="B268" s="40"/>
      <c r="C268" s="40"/>
      <c r="D268" s="65"/>
      <c r="E268" s="40"/>
      <c r="F268" s="40"/>
      <c r="G268" s="40"/>
      <c r="H268" s="40"/>
      <c r="I268" s="65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ht="14.25" customHeight="1">
      <c r="A269" s="65"/>
      <c r="B269" s="40"/>
      <c r="C269" s="40"/>
      <c r="D269" s="65"/>
      <c r="E269" s="40"/>
      <c r="F269" s="40"/>
      <c r="G269" s="40"/>
      <c r="H269" s="40"/>
      <c r="I269" s="65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ht="14.25" customHeight="1">
      <c r="A270" s="65"/>
      <c r="B270" s="40"/>
      <c r="C270" s="40"/>
      <c r="D270" s="65"/>
      <c r="E270" s="40"/>
      <c r="F270" s="40"/>
      <c r="G270" s="40"/>
      <c r="H270" s="40"/>
      <c r="I270" s="65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ht="14.25" customHeight="1">
      <c r="A271" s="65"/>
      <c r="B271" s="40"/>
      <c r="C271" s="40"/>
      <c r="D271" s="65"/>
      <c r="E271" s="40"/>
      <c r="F271" s="40"/>
      <c r="G271" s="40"/>
      <c r="H271" s="40"/>
      <c r="I271" s="65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ht="14.25" customHeight="1">
      <c r="A272" s="65"/>
      <c r="B272" s="40"/>
      <c r="C272" s="40"/>
      <c r="D272" s="65"/>
      <c r="E272" s="40"/>
      <c r="F272" s="40"/>
      <c r="G272" s="40"/>
      <c r="H272" s="40"/>
      <c r="I272" s="65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ht="14.25" customHeight="1">
      <c r="A273" s="65"/>
      <c r="B273" s="40"/>
      <c r="C273" s="40"/>
      <c r="D273" s="65"/>
      <c r="E273" s="40"/>
      <c r="F273" s="40"/>
      <c r="G273" s="40"/>
      <c r="H273" s="40"/>
      <c r="I273" s="65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ht="14.25" customHeight="1">
      <c r="A274" s="65"/>
      <c r="B274" s="40"/>
      <c r="C274" s="40"/>
      <c r="D274" s="65"/>
      <c r="E274" s="40"/>
      <c r="F274" s="40"/>
      <c r="G274" s="40"/>
      <c r="H274" s="40"/>
      <c r="I274" s="65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ht="14.25" customHeight="1">
      <c r="A275" s="65"/>
      <c r="B275" s="40"/>
      <c r="C275" s="40"/>
      <c r="D275" s="65"/>
      <c r="E275" s="40"/>
      <c r="F275" s="40"/>
      <c r="G275" s="40"/>
      <c r="H275" s="40"/>
      <c r="I275" s="65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ht="14.25" customHeight="1">
      <c r="A276" s="65"/>
      <c r="B276" s="40"/>
      <c r="C276" s="40"/>
      <c r="D276" s="65"/>
      <c r="E276" s="40"/>
      <c r="F276" s="40"/>
      <c r="G276" s="40"/>
      <c r="H276" s="40"/>
      <c r="I276" s="65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ht="14.25" customHeight="1">
      <c r="A277" s="65"/>
      <c r="B277" s="40"/>
      <c r="C277" s="40"/>
      <c r="D277" s="65"/>
      <c r="E277" s="40"/>
      <c r="F277" s="40"/>
      <c r="G277" s="40"/>
      <c r="H277" s="40"/>
      <c r="I277" s="65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ht="14.25" customHeight="1">
      <c r="A278" s="65"/>
      <c r="B278" s="40"/>
      <c r="C278" s="40"/>
      <c r="D278" s="65"/>
      <c r="E278" s="40"/>
      <c r="F278" s="40"/>
      <c r="G278" s="40"/>
      <c r="H278" s="40"/>
      <c r="I278" s="65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ht="14.25" customHeight="1">
      <c r="A279" s="65"/>
      <c r="B279" s="40"/>
      <c r="C279" s="40"/>
      <c r="D279" s="65"/>
      <c r="E279" s="40"/>
      <c r="F279" s="40"/>
      <c r="G279" s="40"/>
      <c r="H279" s="40"/>
      <c r="I279" s="65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ht="14.25" customHeight="1">
      <c r="A280" s="65"/>
      <c r="B280" s="40"/>
      <c r="C280" s="40"/>
      <c r="D280" s="65"/>
      <c r="E280" s="40"/>
      <c r="F280" s="40"/>
      <c r="G280" s="40"/>
      <c r="H280" s="40"/>
      <c r="I280" s="65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ht="14.25" customHeight="1">
      <c r="A281" s="65"/>
      <c r="B281" s="40"/>
      <c r="C281" s="40"/>
      <c r="D281" s="65"/>
      <c r="E281" s="40"/>
      <c r="F281" s="40"/>
      <c r="G281" s="40"/>
      <c r="H281" s="40"/>
      <c r="I281" s="65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ht="14.25" customHeight="1">
      <c r="A282" s="65"/>
      <c r="B282" s="40"/>
      <c r="C282" s="40"/>
      <c r="D282" s="65"/>
      <c r="E282" s="40"/>
      <c r="F282" s="40"/>
      <c r="G282" s="40"/>
      <c r="H282" s="40"/>
      <c r="I282" s="65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ht="14.25" customHeight="1">
      <c r="A283" s="65"/>
      <c r="B283" s="40"/>
      <c r="C283" s="40"/>
      <c r="D283" s="65"/>
      <c r="E283" s="40"/>
      <c r="F283" s="40"/>
      <c r="G283" s="40"/>
      <c r="H283" s="40"/>
      <c r="I283" s="65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ht="14.25" customHeight="1">
      <c r="A284" s="65"/>
      <c r="B284" s="40"/>
      <c r="C284" s="40"/>
      <c r="D284" s="65"/>
      <c r="E284" s="40"/>
      <c r="F284" s="40"/>
      <c r="G284" s="40"/>
      <c r="H284" s="40"/>
      <c r="I284" s="65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ht="14.25" customHeight="1">
      <c r="A285" s="65"/>
      <c r="B285" s="40"/>
      <c r="C285" s="40"/>
      <c r="D285" s="65"/>
      <c r="E285" s="40"/>
      <c r="F285" s="40"/>
      <c r="G285" s="40"/>
      <c r="H285" s="40"/>
      <c r="I285" s="65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ht="14.25" customHeight="1">
      <c r="A286" s="65"/>
      <c r="B286" s="40"/>
      <c r="C286" s="40"/>
      <c r="D286" s="65"/>
      <c r="E286" s="40"/>
      <c r="F286" s="40"/>
      <c r="G286" s="40"/>
      <c r="H286" s="40"/>
      <c r="I286" s="65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ht="14.25" customHeight="1">
      <c r="A287" s="65"/>
      <c r="B287" s="40"/>
      <c r="C287" s="40"/>
      <c r="D287" s="65"/>
      <c r="E287" s="40"/>
      <c r="F287" s="40"/>
      <c r="G287" s="40"/>
      <c r="H287" s="40"/>
      <c r="I287" s="65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ht="14.25" customHeight="1">
      <c r="A288" s="65"/>
      <c r="B288" s="40"/>
      <c r="C288" s="40"/>
      <c r="D288" s="65"/>
      <c r="E288" s="40"/>
      <c r="F288" s="40"/>
      <c r="G288" s="40"/>
      <c r="H288" s="40"/>
      <c r="I288" s="65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ht="14.25" customHeight="1">
      <c r="A289" s="65"/>
      <c r="B289" s="40"/>
      <c r="C289" s="40"/>
      <c r="D289" s="65"/>
      <c r="E289" s="40"/>
      <c r="F289" s="40"/>
      <c r="G289" s="40"/>
      <c r="H289" s="40"/>
      <c r="I289" s="65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ht="14.25" customHeight="1">
      <c r="A290" s="65"/>
      <c r="B290" s="40"/>
      <c r="C290" s="40"/>
      <c r="D290" s="65"/>
      <c r="E290" s="40"/>
      <c r="F290" s="40"/>
      <c r="G290" s="40"/>
      <c r="H290" s="40"/>
      <c r="I290" s="65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ht="14.25" customHeight="1">
      <c r="A291" s="65"/>
      <c r="B291" s="40"/>
      <c r="C291" s="40"/>
      <c r="D291" s="65"/>
      <c r="E291" s="40"/>
      <c r="F291" s="40"/>
      <c r="G291" s="40"/>
      <c r="H291" s="40"/>
      <c r="I291" s="65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ht="14.25" customHeight="1">
      <c r="A292" s="65"/>
      <c r="B292" s="40"/>
      <c r="C292" s="40"/>
      <c r="D292" s="65"/>
      <c r="E292" s="40"/>
      <c r="F292" s="40"/>
      <c r="G292" s="40"/>
      <c r="H292" s="40"/>
      <c r="I292" s="65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ht="14.25" customHeight="1">
      <c r="A293" s="65"/>
      <c r="B293" s="40"/>
      <c r="C293" s="40"/>
      <c r="D293" s="65"/>
      <c r="E293" s="40"/>
      <c r="F293" s="40"/>
      <c r="G293" s="40"/>
      <c r="H293" s="40"/>
      <c r="I293" s="65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ht="14.25" customHeight="1">
      <c r="A294" s="65"/>
      <c r="B294" s="40"/>
      <c r="C294" s="40"/>
      <c r="D294" s="65"/>
      <c r="E294" s="40"/>
      <c r="F294" s="40"/>
      <c r="G294" s="40"/>
      <c r="H294" s="40"/>
      <c r="I294" s="65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ht="14.25" customHeight="1">
      <c r="A295" s="65"/>
      <c r="B295" s="40"/>
      <c r="C295" s="40"/>
      <c r="D295" s="65"/>
      <c r="E295" s="40"/>
      <c r="F295" s="40"/>
      <c r="G295" s="40"/>
      <c r="H295" s="40"/>
      <c r="I295" s="65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ht="14.25" customHeight="1">
      <c r="A296" s="65"/>
      <c r="B296" s="40"/>
      <c r="C296" s="40"/>
      <c r="D296" s="65"/>
      <c r="E296" s="40"/>
      <c r="F296" s="40"/>
      <c r="G296" s="40"/>
      <c r="H296" s="40"/>
      <c r="I296" s="65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ht="14.25" customHeight="1">
      <c r="A297" s="65"/>
      <c r="B297" s="40"/>
      <c r="C297" s="40"/>
      <c r="D297" s="65"/>
      <c r="E297" s="40"/>
      <c r="F297" s="40"/>
      <c r="G297" s="40"/>
      <c r="H297" s="40"/>
      <c r="I297" s="65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ht="14.25" customHeight="1">
      <c r="A298" s="65"/>
      <c r="B298" s="40"/>
      <c r="C298" s="40"/>
      <c r="D298" s="65"/>
      <c r="E298" s="40"/>
      <c r="F298" s="40"/>
      <c r="G298" s="40"/>
      <c r="H298" s="40"/>
      <c r="I298" s="65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ht="14.25" customHeight="1">
      <c r="A299" s="65"/>
      <c r="B299" s="40"/>
      <c r="C299" s="40"/>
      <c r="D299" s="65"/>
      <c r="E299" s="40"/>
      <c r="F299" s="40"/>
      <c r="G299" s="40"/>
      <c r="H299" s="40"/>
      <c r="I299" s="65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ht="14.25" customHeight="1">
      <c r="A300" s="65"/>
      <c r="B300" s="40"/>
      <c r="C300" s="40"/>
      <c r="D300" s="65"/>
      <c r="E300" s="40"/>
      <c r="F300" s="40"/>
      <c r="G300" s="40"/>
      <c r="H300" s="40"/>
      <c r="I300" s="65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ht="14.25" customHeight="1">
      <c r="A301" s="65"/>
      <c r="B301" s="40"/>
      <c r="C301" s="40"/>
      <c r="D301" s="65"/>
      <c r="E301" s="40"/>
      <c r="F301" s="40"/>
      <c r="G301" s="40"/>
      <c r="H301" s="40"/>
      <c r="I301" s="65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ht="14.25" customHeight="1">
      <c r="A302" s="65"/>
      <c r="B302" s="40"/>
      <c r="C302" s="40"/>
      <c r="D302" s="65"/>
      <c r="E302" s="40"/>
      <c r="F302" s="40"/>
      <c r="G302" s="40"/>
      <c r="H302" s="40"/>
      <c r="I302" s="65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ht="14.25" customHeight="1">
      <c r="A303" s="65"/>
      <c r="B303" s="40"/>
      <c r="C303" s="40"/>
      <c r="D303" s="65"/>
      <c r="E303" s="40"/>
      <c r="F303" s="40"/>
      <c r="G303" s="40"/>
      <c r="H303" s="40"/>
      <c r="I303" s="65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ht="14.25" customHeight="1">
      <c r="A304" s="65"/>
      <c r="B304" s="40"/>
      <c r="C304" s="40"/>
      <c r="D304" s="65"/>
      <c r="E304" s="40"/>
      <c r="F304" s="40"/>
      <c r="G304" s="40"/>
      <c r="H304" s="40"/>
      <c r="I304" s="65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ht="14.25" customHeight="1">
      <c r="A305" s="65"/>
      <c r="B305" s="40"/>
      <c r="C305" s="40"/>
      <c r="D305" s="65"/>
      <c r="E305" s="40"/>
      <c r="F305" s="40"/>
      <c r="G305" s="40"/>
      <c r="H305" s="40"/>
      <c r="I305" s="65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ht="14.25" customHeight="1">
      <c r="A306" s="65"/>
      <c r="B306" s="40"/>
      <c r="C306" s="40"/>
      <c r="D306" s="65"/>
      <c r="E306" s="40"/>
      <c r="F306" s="40"/>
      <c r="G306" s="40"/>
      <c r="H306" s="40"/>
      <c r="I306" s="65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ht="14.25" customHeight="1">
      <c r="A307" s="65"/>
      <c r="B307" s="40"/>
      <c r="C307" s="40"/>
      <c r="D307" s="65"/>
      <c r="E307" s="40"/>
      <c r="F307" s="40"/>
      <c r="G307" s="40"/>
      <c r="H307" s="40"/>
      <c r="I307" s="65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ht="14.25" customHeight="1">
      <c r="A308" s="65"/>
      <c r="B308" s="40"/>
      <c r="C308" s="40"/>
      <c r="D308" s="65"/>
      <c r="E308" s="40"/>
      <c r="F308" s="40"/>
      <c r="G308" s="40"/>
      <c r="H308" s="40"/>
      <c r="I308" s="65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ht="14.25" customHeight="1">
      <c r="A309" s="65"/>
      <c r="B309" s="40"/>
      <c r="C309" s="40"/>
      <c r="D309" s="65"/>
      <c r="E309" s="40"/>
      <c r="F309" s="40"/>
      <c r="G309" s="40"/>
      <c r="H309" s="40"/>
      <c r="I309" s="65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ht="14.25" customHeight="1">
      <c r="A310" s="65"/>
      <c r="B310" s="40"/>
      <c r="C310" s="40"/>
      <c r="D310" s="65"/>
      <c r="E310" s="40"/>
      <c r="F310" s="40"/>
      <c r="G310" s="40"/>
      <c r="H310" s="40"/>
      <c r="I310" s="65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ht="14.25" customHeight="1">
      <c r="A311" s="65"/>
      <c r="B311" s="40"/>
      <c r="C311" s="40"/>
      <c r="D311" s="65"/>
      <c r="E311" s="40"/>
      <c r="F311" s="40"/>
      <c r="G311" s="40"/>
      <c r="H311" s="40"/>
      <c r="I311" s="65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ht="14.25" customHeight="1">
      <c r="A312" s="65"/>
      <c r="B312" s="40"/>
      <c r="C312" s="40"/>
      <c r="D312" s="65"/>
      <c r="E312" s="40"/>
      <c r="F312" s="40"/>
      <c r="G312" s="40"/>
      <c r="H312" s="40"/>
      <c r="I312" s="65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ht="14.25" customHeight="1">
      <c r="A313" s="65"/>
      <c r="B313" s="40"/>
      <c r="C313" s="40"/>
      <c r="D313" s="65"/>
      <c r="E313" s="40"/>
      <c r="F313" s="40"/>
      <c r="G313" s="40"/>
      <c r="H313" s="40"/>
      <c r="I313" s="65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ht="14.25" customHeight="1">
      <c r="A314" s="65"/>
      <c r="B314" s="40"/>
      <c r="C314" s="40"/>
      <c r="D314" s="65"/>
      <c r="E314" s="40"/>
      <c r="F314" s="40"/>
      <c r="G314" s="40"/>
      <c r="H314" s="40"/>
      <c r="I314" s="65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ht="14.25" customHeight="1">
      <c r="A315" s="65"/>
      <c r="B315" s="40"/>
      <c r="C315" s="40"/>
      <c r="D315" s="65"/>
      <c r="E315" s="40"/>
      <c r="F315" s="40"/>
      <c r="G315" s="40"/>
      <c r="H315" s="40"/>
      <c r="I315" s="65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ht="14.25" customHeight="1">
      <c r="A316" s="65"/>
      <c r="B316" s="40"/>
      <c r="C316" s="40"/>
      <c r="D316" s="65"/>
      <c r="E316" s="40"/>
      <c r="F316" s="40"/>
      <c r="G316" s="40"/>
      <c r="H316" s="40"/>
      <c r="I316" s="65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ht="14.25" customHeight="1">
      <c r="A317" s="65"/>
      <c r="B317" s="40"/>
      <c r="C317" s="40"/>
      <c r="D317" s="65"/>
      <c r="E317" s="40"/>
      <c r="F317" s="40"/>
      <c r="G317" s="40"/>
      <c r="H317" s="40"/>
      <c r="I317" s="65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ht="14.25" customHeight="1">
      <c r="A318" s="65"/>
      <c r="B318" s="40"/>
      <c r="C318" s="40"/>
      <c r="D318" s="65"/>
      <c r="E318" s="40"/>
      <c r="F318" s="40"/>
      <c r="G318" s="40"/>
      <c r="H318" s="40"/>
      <c r="I318" s="65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ht="14.25" customHeight="1">
      <c r="A319" s="65"/>
      <c r="B319" s="40"/>
      <c r="C319" s="40"/>
      <c r="D319" s="65"/>
      <c r="E319" s="40"/>
      <c r="F319" s="40"/>
      <c r="G319" s="40"/>
      <c r="H319" s="40"/>
      <c r="I319" s="65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ht="14.25" customHeight="1">
      <c r="A320" s="65"/>
      <c r="B320" s="40"/>
      <c r="C320" s="40"/>
      <c r="D320" s="65"/>
      <c r="E320" s="40"/>
      <c r="F320" s="40"/>
      <c r="G320" s="40"/>
      <c r="H320" s="40"/>
      <c r="I320" s="65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ht="14.25" customHeight="1">
      <c r="A321" s="65"/>
      <c r="B321" s="40"/>
      <c r="C321" s="40"/>
      <c r="D321" s="65"/>
      <c r="E321" s="40"/>
      <c r="F321" s="40"/>
      <c r="G321" s="40"/>
      <c r="H321" s="40"/>
      <c r="I321" s="65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ht="14.25" customHeight="1">
      <c r="A322" s="65"/>
      <c r="B322" s="40"/>
      <c r="C322" s="40"/>
      <c r="D322" s="65"/>
      <c r="E322" s="40"/>
      <c r="F322" s="40"/>
      <c r="G322" s="40"/>
      <c r="H322" s="40"/>
      <c r="I322" s="65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ht="14.25" customHeight="1">
      <c r="A323" s="65"/>
      <c r="B323" s="40"/>
      <c r="C323" s="40"/>
      <c r="D323" s="65"/>
      <c r="E323" s="40"/>
      <c r="F323" s="40"/>
      <c r="G323" s="40"/>
      <c r="H323" s="40"/>
      <c r="I323" s="65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ht="14.25" customHeight="1">
      <c r="A324" s="65"/>
      <c r="B324" s="40"/>
      <c r="C324" s="40"/>
      <c r="D324" s="65"/>
      <c r="E324" s="40"/>
      <c r="F324" s="40"/>
      <c r="G324" s="40"/>
      <c r="H324" s="40"/>
      <c r="I324" s="65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ht="14.25" customHeight="1">
      <c r="A325" s="65"/>
      <c r="B325" s="40"/>
      <c r="C325" s="40"/>
      <c r="D325" s="65"/>
      <c r="E325" s="40"/>
      <c r="F325" s="40"/>
      <c r="G325" s="40"/>
      <c r="H325" s="40"/>
      <c r="I325" s="65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ht="14.25" customHeight="1">
      <c r="A326" s="65"/>
      <c r="B326" s="40"/>
      <c r="C326" s="40"/>
      <c r="D326" s="65"/>
      <c r="E326" s="40"/>
      <c r="F326" s="40"/>
      <c r="G326" s="40"/>
      <c r="H326" s="40"/>
      <c r="I326" s="65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ht="14.25" customHeight="1">
      <c r="A327" s="65"/>
      <c r="B327" s="40"/>
      <c r="C327" s="40"/>
      <c r="D327" s="65"/>
      <c r="E327" s="40"/>
      <c r="F327" s="40"/>
      <c r="G327" s="40"/>
      <c r="H327" s="40"/>
      <c r="I327" s="65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ht="14.25" customHeight="1">
      <c r="A328" s="65"/>
      <c r="B328" s="40"/>
      <c r="C328" s="40"/>
      <c r="D328" s="65"/>
      <c r="E328" s="40"/>
      <c r="F328" s="40"/>
      <c r="G328" s="40"/>
      <c r="H328" s="40"/>
      <c r="I328" s="65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ht="14.25" customHeight="1">
      <c r="A329" s="65"/>
      <c r="B329" s="40"/>
      <c r="C329" s="40"/>
      <c r="D329" s="65"/>
      <c r="E329" s="40"/>
      <c r="F329" s="40"/>
      <c r="G329" s="40"/>
      <c r="H329" s="40"/>
      <c r="I329" s="65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ht="14.25" customHeight="1">
      <c r="A330" s="65"/>
      <c r="B330" s="40"/>
      <c r="C330" s="40"/>
      <c r="D330" s="65"/>
      <c r="E330" s="40"/>
      <c r="F330" s="40"/>
      <c r="G330" s="40"/>
      <c r="H330" s="40"/>
      <c r="I330" s="65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ht="14.25" customHeight="1">
      <c r="A331" s="65"/>
      <c r="B331" s="40"/>
      <c r="C331" s="40"/>
      <c r="D331" s="65"/>
      <c r="E331" s="40"/>
      <c r="F331" s="40"/>
      <c r="G331" s="40"/>
      <c r="H331" s="40"/>
      <c r="I331" s="65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ht="14.25" customHeight="1">
      <c r="A332" s="65"/>
      <c r="B332" s="40"/>
      <c r="C332" s="40"/>
      <c r="D332" s="65"/>
      <c r="E332" s="40"/>
      <c r="F332" s="40"/>
      <c r="G332" s="40"/>
      <c r="H332" s="40"/>
      <c r="I332" s="65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ht="14.25" customHeight="1">
      <c r="A333" s="65"/>
      <c r="B333" s="40"/>
      <c r="C333" s="40"/>
      <c r="D333" s="65"/>
      <c r="E333" s="40"/>
      <c r="F333" s="40"/>
      <c r="G333" s="40"/>
      <c r="H333" s="40"/>
      <c r="I333" s="65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ht="14.25" customHeight="1">
      <c r="A334" s="65"/>
      <c r="B334" s="40"/>
      <c r="C334" s="40"/>
      <c r="D334" s="65"/>
      <c r="E334" s="40"/>
      <c r="F334" s="40"/>
      <c r="G334" s="40"/>
      <c r="H334" s="40"/>
      <c r="I334" s="65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ht="14.25" customHeight="1">
      <c r="A335" s="65"/>
      <c r="B335" s="40"/>
      <c r="C335" s="40"/>
      <c r="D335" s="65"/>
      <c r="E335" s="40"/>
      <c r="F335" s="40"/>
      <c r="G335" s="40"/>
      <c r="H335" s="40"/>
      <c r="I335" s="65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ht="14.25" customHeight="1">
      <c r="A336" s="65"/>
      <c r="B336" s="40"/>
      <c r="C336" s="40"/>
      <c r="D336" s="65"/>
      <c r="E336" s="40"/>
      <c r="F336" s="40"/>
      <c r="G336" s="40"/>
      <c r="H336" s="40"/>
      <c r="I336" s="65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ht="14.25" customHeight="1">
      <c r="A337" s="65"/>
      <c r="B337" s="40"/>
      <c r="C337" s="40"/>
      <c r="D337" s="65"/>
      <c r="E337" s="40"/>
      <c r="F337" s="40"/>
      <c r="G337" s="40"/>
      <c r="H337" s="40"/>
      <c r="I337" s="65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ht="14.25" customHeight="1">
      <c r="A338" s="65"/>
      <c r="B338" s="40"/>
      <c r="C338" s="40"/>
      <c r="D338" s="65"/>
      <c r="E338" s="40"/>
      <c r="F338" s="40"/>
      <c r="G338" s="40"/>
      <c r="H338" s="40"/>
      <c r="I338" s="65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ht="14.25" customHeight="1">
      <c r="A339" s="65"/>
      <c r="B339" s="40"/>
      <c r="C339" s="40"/>
      <c r="D339" s="65"/>
      <c r="E339" s="40"/>
      <c r="F339" s="40"/>
      <c r="G339" s="40"/>
      <c r="H339" s="40"/>
      <c r="I339" s="65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ht="14.25" customHeight="1">
      <c r="A340" s="65"/>
      <c r="B340" s="40"/>
      <c r="C340" s="40"/>
      <c r="D340" s="65"/>
      <c r="E340" s="40"/>
      <c r="F340" s="40"/>
      <c r="G340" s="40"/>
      <c r="H340" s="40"/>
      <c r="I340" s="65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ht="14.25" customHeight="1">
      <c r="A341" s="65"/>
      <c r="B341" s="40"/>
      <c r="C341" s="40"/>
      <c r="D341" s="65"/>
      <c r="E341" s="40"/>
      <c r="F341" s="40"/>
      <c r="G341" s="40"/>
      <c r="H341" s="40"/>
      <c r="I341" s="65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ht="14.25" customHeight="1">
      <c r="A342" s="65"/>
      <c r="B342" s="40"/>
      <c r="C342" s="40"/>
      <c r="D342" s="65"/>
      <c r="E342" s="40"/>
      <c r="F342" s="40"/>
      <c r="G342" s="40"/>
      <c r="H342" s="40"/>
      <c r="I342" s="65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ht="14.25" customHeight="1">
      <c r="A343" s="65"/>
      <c r="B343" s="40"/>
      <c r="C343" s="40"/>
      <c r="D343" s="65"/>
      <c r="E343" s="40"/>
      <c r="F343" s="40"/>
      <c r="G343" s="40"/>
      <c r="H343" s="40"/>
      <c r="I343" s="65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ht="14.25" customHeight="1">
      <c r="A344" s="65"/>
      <c r="B344" s="40"/>
      <c r="C344" s="40"/>
      <c r="D344" s="65"/>
      <c r="E344" s="40"/>
      <c r="F344" s="40"/>
      <c r="G344" s="40"/>
      <c r="H344" s="40"/>
      <c r="I344" s="65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ht="14.25" customHeight="1">
      <c r="A345" s="65"/>
      <c r="B345" s="40"/>
      <c r="C345" s="40"/>
      <c r="D345" s="65"/>
      <c r="E345" s="40"/>
      <c r="F345" s="40"/>
      <c r="G345" s="40"/>
      <c r="H345" s="40"/>
      <c r="I345" s="65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ht="14.25" customHeight="1">
      <c r="A346" s="65"/>
      <c r="B346" s="40"/>
      <c r="C346" s="40"/>
      <c r="D346" s="65"/>
      <c r="E346" s="40"/>
      <c r="F346" s="40"/>
      <c r="G346" s="40"/>
      <c r="H346" s="40"/>
      <c r="I346" s="65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ht="14.25" customHeight="1">
      <c r="A347" s="65"/>
      <c r="B347" s="40"/>
      <c r="C347" s="40"/>
      <c r="D347" s="65"/>
      <c r="E347" s="40"/>
      <c r="F347" s="40"/>
      <c r="G347" s="40"/>
      <c r="H347" s="40"/>
      <c r="I347" s="65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ht="14.25" customHeight="1">
      <c r="A348" s="65"/>
      <c r="B348" s="40"/>
      <c r="C348" s="40"/>
      <c r="D348" s="65"/>
      <c r="E348" s="40"/>
      <c r="F348" s="40"/>
      <c r="G348" s="40"/>
      <c r="H348" s="40"/>
      <c r="I348" s="65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ht="14.25" customHeight="1">
      <c r="A349" s="65"/>
      <c r="B349" s="40"/>
      <c r="C349" s="40"/>
      <c r="D349" s="65"/>
      <c r="E349" s="40"/>
      <c r="F349" s="40"/>
      <c r="G349" s="40"/>
      <c r="H349" s="40"/>
      <c r="I349" s="65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ht="14.25" customHeight="1">
      <c r="A350" s="65"/>
      <c r="B350" s="40"/>
      <c r="C350" s="40"/>
      <c r="D350" s="65"/>
      <c r="E350" s="40"/>
      <c r="F350" s="40"/>
      <c r="G350" s="40"/>
      <c r="H350" s="40"/>
      <c r="I350" s="65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ht="14.25" customHeight="1">
      <c r="A351" s="65"/>
      <c r="B351" s="40"/>
      <c r="C351" s="40"/>
      <c r="D351" s="65"/>
      <c r="E351" s="40"/>
      <c r="F351" s="40"/>
      <c r="G351" s="40"/>
      <c r="H351" s="40"/>
      <c r="I351" s="65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ht="14.25" customHeight="1">
      <c r="A352" s="65"/>
      <c r="B352" s="40"/>
      <c r="C352" s="40"/>
      <c r="D352" s="65"/>
      <c r="E352" s="40"/>
      <c r="F352" s="40"/>
      <c r="G352" s="40"/>
      <c r="H352" s="40"/>
      <c r="I352" s="65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ht="14.25" customHeight="1">
      <c r="A353" s="65"/>
      <c r="B353" s="40"/>
      <c r="C353" s="40"/>
      <c r="D353" s="65"/>
      <c r="E353" s="40"/>
      <c r="F353" s="40"/>
      <c r="G353" s="40"/>
      <c r="H353" s="40"/>
      <c r="I353" s="65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ht="14.25" customHeight="1">
      <c r="A354" s="65"/>
      <c r="B354" s="40"/>
      <c r="C354" s="40"/>
      <c r="D354" s="65"/>
      <c r="E354" s="40"/>
      <c r="F354" s="40"/>
      <c r="G354" s="40"/>
      <c r="H354" s="40"/>
      <c r="I354" s="65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ht="14.25" customHeight="1">
      <c r="A355" s="65"/>
      <c r="B355" s="40"/>
      <c r="C355" s="40"/>
      <c r="D355" s="65"/>
      <c r="E355" s="40"/>
      <c r="F355" s="40"/>
      <c r="G355" s="40"/>
      <c r="H355" s="40"/>
      <c r="I355" s="65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ht="14.25" customHeight="1">
      <c r="A356" s="65"/>
      <c r="B356" s="40"/>
      <c r="C356" s="40"/>
      <c r="D356" s="65"/>
      <c r="E356" s="40"/>
      <c r="F356" s="40"/>
      <c r="G356" s="40"/>
      <c r="H356" s="40"/>
      <c r="I356" s="65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ht="14.25" customHeight="1">
      <c r="A357" s="65"/>
      <c r="B357" s="40"/>
      <c r="C357" s="40"/>
      <c r="D357" s="65"/>
      <c r="E357" s="40"/>
      <c r="F357" s="40"/>
      <c r="G357" s="40"/>
      <c r="H357" s="40"/>
      <c r="I357" s="65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ht="14.25" customHeight="1">
      <c r="A358" s="65"/>
      <c r="B358" s="40"/>
      <c r="C358" s="40"/>
      <c r="D358" s="65"/>
      <c r="E358" s="40"/>
      <c r="F358" s="40"/>
      <c r="G358" s="40"/>
      <c r="H358" s="40"/>
      <c r="I358" s="65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ht="14.25" customHeight="1">
      <c r="A359" s="65"/>
      <c r="B359" s="40"/>
      <c r="C359" s="40"/>
      <c r="D359" s="65"/>
      <c r="E359" s="40"/>
      <c r="F359" s="40"/>
      <c r="G359" s="40"/>
      <c r="H359" s="40"/>
      <c r="I359" s="65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ht="14.25" customHeight="1">
      <c r="A360" s="65"/>
      <c r="B360" s="40"/>
      <c r="C360" s="40"/>
      <c r="D360" s="65"/>
      <c r="E360" s="40"/>
      <c r="F360" s="40"/>
      <c r="G360" s="40"/>
      <c r="H360" s="40"/>
      <c r="I360" s="65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ht="14.25" customHeight="1">
      <c r="A361" s="65"/>
      <c r="B361" s="40"/>
      <c r="C361" s="40"/>
      <c r="D361" s="65"/>
      <c r="E361" s="40"/>
      <c r="F361" s="40"/>
      <c r="G361" s="40"/>
      <c r="H361" s="40"/>
      <c r="I361" s="65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ht="14.25" customHeight="1">
      <c r="A362" s="65"/>
      <c r="B362" s="40"/>
      <c r="C362" s="40"/>
      <c r="D362" s="65"/>
      <c r="E362" s="40"/>
      <c r="F362" s="40"/>
      <c r="G362" s="40"/>
      <c r="H362" s="40"/>
      <c r="I362" s="65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ht="14.25" customHeight="1">
      <c r="A363" s="65"/>
      <c r="B363" s="40"/>
      <c r="C363" s="40"/>
      <c r="D363" s="65"/>
      <c r="E363" s="40"/>
      <c r="F363" s="40"/>
      <c r="G363" s="40"/>
      <c r="H363" s="40"/>
      <c r="I363" s="65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ht="14.25" customHeight="1">
      <c r="A364" s="65"/>
      <c r="B364" s="40"/>
      <c r="C364" s="40"/>
      <c r="D364" s="65"/>
      <c r="E364" s="40"/>
      <c r="F364" s="40"/>
      <c r="G364" s="40"/>
      <c r="H364" s="40"/>
      <c r="I364" s="65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ht="14.25" customHeight="1">
      <c r="A365" s="65"/>
      <c r="B365" s="40"/>
      <c r="C365" s="40"/>
      <c r="D365" s="65"/>
      <c r="E365" s="40"/>
      <c r="F365" s="40"/>
      <c r="G365" s="40"/>
      <c r="H365" s="40"/>
      <c r="I365" s="65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ht="14.25" customHeight="1">
      <c r="A366" s="65"/>
      <c r="B366" s="40"/>
      <c r="C366" s="40"/>
      <c r="D366" s="65"/>
      <c r="E366" s="40"/>
      <c r="F366" s="40"/>
      <c r="G366" s="40"/>
      <c r="H366" s="40"/>
      <c r="I366" s="65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ht="14.25" customHeight="1">
      <c r="A367" s="65"/>
      <c r="B367" s="40"/>
      <c r="C367" s="40"/>
      <c r="D367" s="65"/>
      <c r="E367" s="40"/>
      <c r="F367" s="40"/>
      <c r="G367" s="40"/>
      <c r="H367" s="40"/>
      <c r="I367" s="65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ht="14.25" customHeight="1">
      <c r="A368" s="65"/>
      <c r="B368" s="40"/>
      <c r="C368" s="40"/>
      <c r="D368" s="65"/>
      <c r="E368" s="40"/>
      <c r="F368" s="40"/>
      <c r="G368" s="40"/>
      <c r="H368" s="40"/>
      <c r="I368" s="65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ht="14.25" customHeight="1">
      <c r="A369" s="65"/>
      <c r="B369" s="40"/>
      <c r="C369" s="40"/>
      <c r="D369" s="65"/>
      <c r="E369" s="40"/>
      <c r="F369" s="40"/>
      <c r="G369" s="40"/>
      <c r="H369" s="40"/>
      <c r="I369" s="65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ht="14.25" customHeight="1">
      <c r="A370" s="65"/>
      <c r="B370" s="40"/>
      <c r="C370" s="40"/>
      <c r="D370" s="65"/>
      <c r="E370" s="40"/>
      <c r="F370" s="40"/>
      <c r="G370" s="40"/>
      <c r="H370" s="40"/>
      <c r="I370" s="65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ht="14.25" customHeight="1">
      <c r="A371" s="65"/>
      <c r="B371" s="40"/>
      <c r="C371" s="40"/>
      <c r="D371" s="65"/>
      <c r="E371" s="40"/>
      <c r="F371" s="40"/>
      <c r="G371" s="40"/>
      <c r="H371" s="40"/>
      <c r="I371" s="65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ht="14.25" customHeight="1">
      <c r="A372" s="65"/>
      <c r="B372" s="40"/>
      <c r="C372" s="40"/>
      <c r="D372" s="65"/>
      <c r="E372" s="40"/>
      <c r="F372" s="40"/>
      <c r="G372" s="40"/>
      <c r="H372" s="40"/>
      <c r="I372" s="65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ht="14.25" customHeight="1">
      <c r="A373" s="65"/>
      <c r="B373" s="40"/>
      <c r="C373" s="40"/>
      <c r="D373" s="65"/>
      <c r="E373" s="40"/>
      <c r="F373" s="40"/>
      <c r="G373" s="40"/>
      <c r="H373" s="40"/>
      <c r="I373" s="65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ht="14.25" customHeight="1">
      <c r="A374" s="65"/>
      <c r="B374" s="40"/>
      <c r="C374" s="40"/>
      <c r="D374" s="65"/>
      <c r="E374" s="40"/>
      <c r="F374" s="40"/>
      <c r="G374" s="40"/>
      <c r="H374" s="40"/>
      <c r="I374" s="65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ht="14.25" customHeight="1">
      <c r="A375" s="65"/>
      <c r="B375" s="40"/>
      <c r="C375" s="40"/>
      <c r="D375" s="65"/>
      <c r="E375" s="40"/>
      <c r="F375" s="40"/>
      <c r="G375" s="40"/>
      <c r="H375" s="40"/>
      <c r="I375" s="65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ht="14.25" customHeight="1">
      <c r="A376" s="65"/>
      <c r="B376" s="40"/>
      <c r="C376" s="40"/>
      <c r="D376" s="65"/>
      <c r="E376" s="40"/>
      <c r="F376" s="40"/>
      <c r="G376" s="40"/>
      <c r="H376" s="40"/>
      <c r="I376" s="65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ht="14.25" customHeight="1">
      <c r="A377" s="65"/>
      <c r="B377" s="40"/>
      <c r="C377" s="40"/>
      <c r="D377" s="65"/>
      <c r="E377" s="40"/>
      <c r="F377" s="40"/>
      <c r="G377" s="40"/>
      <c r="H377" s="40"/>
      <c r="I377" s="65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ht="14.25" customHeight="1">
      <c r="A378" s="65"/>
      <c r="B378" s="40"/>
      <c r="C378" s="40"/>
      <c r="D378" s="65"/>
      <c r="E378" s="40"/>
      <c r="F378" s="40"/>
      <c r="G378" s="40"/>
      <c r="H378" s="40"/>
      <c r="I378" s="65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ht="14.25" customHeight="1">
      <c r="A379" s="65"/>
      <c r="B379" s="40"/>
      <c r="C379" s="40"/>
      <c r="D379" s="65"/>
      <c r="E379" s="40"/>
      <c r="F379" s="40"/>
      <c r="G379" s="40"/>
      <c r="H379" s="40"/>
      <c r="I379" s="65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ht="14.25" customHeight="1">
      <c r="A380" s="65"/>
      <c r="B380" s="40"/>
      <c r="C380" s="40"/>
      <c r="D380" s="65"/>
      <c r="E380" s="40"/>
      <c r="F380" s="40"/>
      <c r="G380" s="40"/>
      <c r="H380" s="40"/>
      <c r="I380" s="65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ht="14.25" customHeight="1">
      <c r="A381" s="65"/>
      <c r="B381" s="40"/>
      <c r="C381" s="40"/>
      <c r="D381" s="65"/>
      <c r="E381" s="40"/>
      <c r="F381" s="40"/>
      <c r="G381" s="40"/>
      <c r="H381" s="40"/>
      <c r="I381" s="65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ht="14.25" customHeight="1">
      <c r="A382" s="65"/>
      <c r="B382" s="40"/>
      <c r="C382" s="40"/>
      <c r="D382" s="65"/>
      <c r="E382" s="40"/>
      <c r="F382" s="40"/>
      <c r="G382" s="40"/>
      <c r="H382" s="40"/>
      <c r="I382" s="65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ht="14.25" customHeight="1">
      <c r="A383" s="65"/>
      <c r="B383" s="40"/>
      <c r="C383" s="40"/>
      <c r="D383" s="65"/>
      <c r="E383" s="40"/>
      <c r="F383" s="40"/>
      <c r="G383" s="40"/>
      <c r="H383" s="40"/>
      <c r="I383" s="65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ht="14.25" customHeight="1">
      <c r="A384" s="65"/>
      <c r="B384" s="40"/>
      <c r="C384" s="40"/>
      <c r="D384" s="65"/>
      <c r="E384" s="40"/>
      <c r="F384" s="40"/>
      <c r="G384" s="40"/>
      <c r="H384" s="40"/>
      <c r="I384" s="65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ht="14.25" customHeight="1">
      <c r="A385" s="65"/>
      <c r="B385" s="40"/>
      <c r="C385" s="40"/>
      <c r="D385" s="65"/>
      <c r="E385" s="40"/>
      <c r="F385" s="40"/>
      <c r="G385" s="40"/>
      <c r="H385" s="40"/>
      <c r="I385" s="65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ht="14.25" customHeight="1">
      <c r="A386" s="65"/>
      <c r="B386" s="40"/>
      <c r="C386" s="40"/>
      <c r="D386" s="65"/>
      <c r="E386" s="40"/>
      <c r="F386" s="40"/>
      <c r="G386" s="40"/>
      <c r="H386" s="40"/>
      <c r="I386" s="65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ht="14.25" customHeight="1">
      <c r="A387" s="65"/>
      <c r="B387" s="40"/>
      <c r="C387" s="40"/>
      <c r="D387" s="65"/>
      <c r="E387" s="40"/>
      <c r="F387" s="40"/>
      <c r="G387" s="40"/>
      <c r="H387" s="40"/>
      <c r="I387" s="65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ht="14.25" customHeight="1">
      <c r="A388" s="65"/>
      <c r="B388" s="40"/>
      <c r="C388" s="40"/>
      <c r="D388" s="65"/>
      <c r="E388" s="40"/>
      <c r="F388" s="40"/>
      <c r="G388" s="40"/>
      <c r="H388" s="40"/>
      <c r="I388" s="65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ht="14.25" customHeight="1">
      <c r="A389" s="65"/>
      <c r="B389" s="40"/>
      <c r="C389" s="40"/>
      <c r="D389" s="65"/>
      <c r="E389" s="40"/>
      <c r="F389" s="40"/>
      <c r="G389" s="40"/>
      <c r="H389" s="40"/>
      <c r="I389" s="65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ht="14.25" customHeight="1">
      <c r="A390" s="65"/>
      <c r="B390" s="40"/>
      <c r="C390" s="40"/>
      <c r="D390" s="65"/>
      <c r="E390" s="40"/>
      <c r="F390" s="40"/>
      <c r="G390" s="40"/>
      <c r="H390" s="40"/>
      <c r="I390" s="65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ht="14.25" customHeight="1">
      <c r="A391" s="65"/>
      <c r="B391" s="40"/>
      <c r="C391" s="40"/>
      <c r="D391" s="65"/>
      <c r="E391" s="40"/>
      <c r="F391" s="40"/>
      <c r="G391" s="40"/>
      <c r="H391" s="40"/>
      <c r="I391" s="65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ht="14.25" customHeight="1">
      <c r="A392" s="65"/>
      <c r="B392" s="40"/>
      <c r="C392" s="40"/>
      <c r="D392" s="65"/>
      <c r="E392" s="40"/>
      <c r="F392" s="40"/>
      <c r="G392" s="40"/>
      <c r="H392" s="40"/>
      <c r="I392" s="65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ht="14.25" customHeight="1">
      <c r="A393" s="65"/>
      <c r="B393" s="40"/>
      <c r="C393" s="40"/>
      <c r="D393" s="65"/>
      <c r="E393" s="40"/>
      <c r="F393" s="40"/>
      <c r="G393" s="40"/>
      <c r="H393" s="40"/>
      <c r="I393" s="65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ht="14.25" customHeight="1">
      <c r="A394" s="65"/>
      <c r="B394" s="40"/>
      <c r="C394" s="40"/>
      <c r="D394" s="65"/>
      <c r="E394" s="40"/>
      <c r="F394" s="40"/>
      <c r="G394" s="40"/>
      <c r="H394" s="40"/>
      <c r="I394" s="65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ht="14.25" customHeight="1">
      <c r="A395" s="65"/>
      <c r="B395" s="40"/>
      <c r="C395" s="40"/>
      <c r="D395" s="65"/>
      <c r="E395" s="40"/>
      <c r="F395" s="40"/>
      <c r="G395" s="40"/>
      <c r="H395" s="40"/>
      <c r="I395" s="65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ht="14.25" customHeight="1">
      <c r="A396" s="65"/>
      <c r="B396" s="40"/>
      <c r="C396" s="40"/>
      <c r="D396" s="65"/>
      <c r="E396" s="40"/>
      <c r="F396" s="40"/>
      <c r="G396" s="40"/>
      <c r="H396" s="40"/>
      <c r="I396" s="65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ht="14.25" customHeight="1">
      <c r="A397" s="65"/>
      <c r="B397" s="40"/>
      <c r="C397" s="40"/>
      <c r="D397" s="65"/>
      <c r="E397" s="40"/>
      <c r="F397" s="40"/>
      <c r="G397" s="40"/>
      <c r="H397" s="40"/>
      <c r="I397" s="65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ht="14.25" customHeight="1">
      <c r="A398" s="65"/>
      <c r="B398" s="40"/>
      <c r="C398" s="40"/>
      <c r="D398" s="65"/>
      <c r="E398" s="40"/>
      <c r="F398" s="40"/>
      <c r="G398" s="40"/>
      <c r="H398" s="40"/>
      <c r="I398" s="65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ht="14.25" customHeight="1">
      <c r="A399" s="65"/>
      <c r="B399" s="40"/>
      <c r="C399" s="40"/>
      <c r="D399" s="65"/>
      <c r="E399" s="40"/>
      <c r="F399" s="40"/>
      <c r="G399" s="40"/>
      <c r="H399" s="40"/>
      <c r="I399" s="65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ht="14.25" customHeight="1">
      <c r="A400" s="65"/>
      <c r="B400" s="40"/>
      <c r="C400" s="40"/>
      <c r="D400" s="65"/>
      <c r="E400" s="40"/>
      <c r="F400" s="40"/>
      <c r="G400" s="40"/>
      <c r="H400" s="40"/>
      <c r="I400" s="65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ht="14.25" customHeight="1">
      <c r="A401" s="65"/>
      <c r="B401" s="40"/>
      <c r="C401" s="40"/>
      <c r="D401" s="65"/>
      <c r="E401" s="40"/>
      <c r="F401" s="40"/>
      <c r="G401" s="40"/>
      <c r="H401" s="40"/>
      <c r="I401" s="65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ht="14.25" customHeight="1">
      <c r="A402" s="65"/>
      <c r="B402" s="40"/>
      <c r="C402" s="40"/>
      <c r="D402" s="65"/>
      <c r="E402" s="40"/>
      <c r="F402" s="40"/>
      <c r="G402" s="40"/>
      <c r="H402" s="40"/>
      <c r="I402" s="65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ht="14.25" customHeight="1">
      <c r="A403" s="65"/>
      <c r="B403" s="40"/>
      <c r="C403" s="40"/>
      <c r="D403" s="65"/>
      <c r="E403" s="40"/>
      <c r="F403" s="40"/>
      <c r="G403" s="40"/>
      <c r="H403" s="40"/>
      <c r="I403" s="65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ht="14.25" customHeight="1">
      <c r="A404" s="65"/>
      <c r="B404" s="40"/>
      <c r="C404" s="40"/>
      <c r="D404" s="65"/>
      <c r="E404" s="40"/>
      <c r="F404" s="40"/>
      <c r="G404" s="40"/>
      <c r="H404" s="40"/>
      <c r="I404" s="65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ht="14.25" customHeight="1">
      <c r="A405" s="65"/>
      <c r="B405" s="40"/>
      <c r="C405" s="40"/>
      <c r="D405" s="65"/>
      <c r="E405" s="40"/>
      <c r="F405" s="40"/>
      <c r="G405" s="40"/>
      <c r="H405" s="40"/>
      <c r="I405" s="65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ht="14.25" customHeight="1">
      <c r="A406" s="65"/>
      <c r="B406" s="40"/>
      <c r="C406" s="40"/>
      <c r="D406" s="65"/>
      <c r="E406" s="40"/>
      <c r="F406" s="40"/>
      <c r="G406" s="40"/>
      <c r="H406" s="40"/>
      <c r="I406" s="65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ht="14.25" customHeight="1">
      <c r="A407" s="65"/>
      <c r="B407" s="40"/>
      <c r="C407" s="40"/>
      <c r="D407" s="65"/>
      <c r="E407" s="40"/>
      <c r="F407" s="40"/>
      <c r="G407" s="40"/>
      <c r="H407" s="40"/>
      <c r="I407" s="65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ht="14.25" customHeight="1">
      <c r="A408" s="65"/>
      <c r="B408" s="40"/>
      <c r="C408" s="40"/>
      <c r="D408" s="65"/>
      <c r="E408" s="40"/>
      <c r="F408" s="40"/>
      <c r="G408" s="40"/>
      <c r="H408" s="40"/>
      <c r="I408" s="65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ht="14.25" customHeight="1">
      <c r="A409" s="65"/>
      <c r="B409" s="40"/>
      <c r="C409" s="40"/>
      <c r="D409" s="65"/>
      <c r="E409" s="40"/>
      <c r="F409" s="40"/>
      <c r="G409" s="40"/>
      <c r="H409" s="40"/>
      <c r="I409" s="65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ht="14.25" customHeight="1">
      <c r="A410" s="65"/>
      <c r="B410" s="40"/>
      <c r="C410" s="40"/>
      <c r="D410" s="65"/>
      <c r="E410" s="40"/>
      <c r="F410" s="40"/>
      <c r="G410" s="40"/>
      <c r="H410" s="40"/>
      <c r="I410" s="65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ht="14.25" customHeight="1">
      <c r="A411" s="65"/>
      <c r="B411" s="40"/>
      <c r="C411" s="40"/>
      <c r="D411" s="65"/>
      <c r="E411" s="40"/>
      <c r="F411" s="40"/>
      <c r="G411" s="40"/>
      <c r="H411" s="40"/>
      <c r="I411" s="65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ht="14.25" customHeight="1">
      <c r="A412" s="65"/>
      <c r="B412" s="40"/>
      <c r="C412" s="40"/>
      <c r="D412" s="65"/>
      <c r="E412" s="40"/>
      <c r="F412" s="40"/>
      <c r="G412" s="40"/>
      <c r="H412" s="40"/>
      <c r="I412" s="65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ht="14.25" customHeight="1">
      <c r="A413" s="65"/>
      <c r="B413" s="40"/>
      <c r="C413" s="40"/>
      <c r="D413" s="65"/>
      <c r="E413" s="40"/>
      <c r="F413" s="40"/>
      <c r="G413" s="40"/>
      <c r="H413" s="40"/>
      <c r="I413" s="65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ht="14.25" customHeight="1">
      <c r="A414" s="65"/>
      <c r="B414" s="40"/>
      <c r="C414" s="40"/>
      <c r="D414" s="65"/>
      <c r="E414" s="40"/>
      <c r="F414" s="40"/>
      <c r="G414" s="40"/>
      <c r="H414" s="40"/>
      <c r="I414" s="65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ht="14.25" customHeight="1">
      <c r="A415" s="65"/>
      <c r="B415" s="40"/>
      <c r="C415" s="40"/>
      <c r="D415" s="65"/>
      <c r="E415" s="40"/>
      <c r="F415" s="40"/>
      <c r="G415" s="40"/>
      <c r="H415" s="40"/>
      <c r="I415" s="65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ht="14.25" customHeight="1">
      <c r="A416" s="65"/>
      <c r="B416" s="40"/>
      <c r="C416" s="40"/>
      <c r="D416" s="65"/>
      <c r="E416" s="40"/>
      <c r="F416" s="40"/>
      <c r="G416" s="40"/>
      <c r="H416" s="40"/>
      <c r="I416" s="65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ht="14.25" customHeight="1">
      <c r="A417" s="65"/>
      <c r="B417" s="40"/>
      <c r="C417" s="40"/>
      <c r="D417" s="65"/>
      <c r="E417" s="40"/>
      <c r="F417" s="40"/>
      <c r="G417" s="40"/>
      <c r="H417" s="40"/>
      <c r="I417" s="65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ht="14.25" customHeight="1">
      <c r="A418" s="65"/>
      <c r="B418" s="40"/>
      <c r="C418" s="40"/>
      <c r="D418" s="65"/>
      <c r="E418" s="40"/>
      <c r="F418" s="40"/>
      <c r="G418" s="40"/>
      <c r="H418" s="40"/>
      <c r="I418" s="65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ht="14.25" customHeight="1">
      <c r="A419" s="65"/>
      <c r="B419" s="40"/>
      <c r="C419" s="40"/>
      <c r="D419" s="65"/>
      <c r="E419" s="40"/>
      <c r="F419" s="40"/>
      <c r="G419" s="40"/>
      <c r="H419" s="40"/>
      <c r="I419" s="65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ht="14.25" customHeight="1">
      <c r="A420" s="65"/>
      <c r="B420" s="40"/>
      <c r="C420" s="40"/>
      <c r="D420" s="65"/>
      <c r="E420" s="40"/>
      <c r="F420" s="40"/>
      <c r="G420" s="40"/>
      <c r="H420" s="40"/>
      <c r="I420" s="65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ht="14.25" customHeight="1">
      <c r="A421" s="65"/>
      <c r="B421" s="40"/>
      <c r="C421" s="40"/>
      <c r="D421" s="65"/>
      <c r="E421" s="40"/>
      <c r="F421" s="40"/>
      <c r="G421" s="40"/>
      <c r="H421" s="40"/>
      <c r="I421" s="65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ht="14.25" customHeight="1">
      <c r="A422" s="65"/>
      <c r="B422" s="40"/>
      <c r="C422" s="40"/>
      <c r="D422" s="65"/>
      <c r="E422" s="40"/>
      <c r="F422" s="40"/>
      <c r="G422" s="40"/>
      <c r="H422" s="40"/>
      <c r="I422" s="65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ht="14.25" customHeight="1">
      <c r="A423" s="65"/>
      <c r="B423" s="40"/>
      <c r="C423" s="40"/>
      <c r="D423" s="65"/>
      <c r="E423" s="40"/>
      <c r="F423" s="40"/>
      <c r="G423" s="40"/>
      <c r="H423" s="40"/>
      <c r="I423" s="65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ht="14.25" customHeight="1">
      <c r="A424" s="65"/>
      <c r="B424" s="40"/>
      <c r="C424" s="40"/>
      <c r="D424" s="65"/>
      <c r="E424" s="40"/>
      <c r="F424" s="40"/>
      <c r="G424" s="40"/>
      <c r="H424" s="40"/>
      <c r="I424" s="65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ht="14.25" customHeight="1">
      <c r="A425" s="65"/>
      <c r="B425" s="40"/>
      <c r="C425" s="40"/>
      <c r="D425" s="65"/>
      <c r="E425" s="40"/>
      <c r="F425" s="40"/>
      <c r="G425" s="40"/>
      <c r="H425" s="40"/>
      <c r="I425" s="65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ht="14.25" customHeight="1">
      <c r="A426" s="65"/>
      <c r="B426" s="40"/>
      <c r="C426" s="40"/>
      <c r="D426" s="65"/>
      <c r="E426" s="40"/>
      <c r="F426" s="40"/>
      <c r="G426" s="40"/>
      <c r="H426" s="40"/>
      <c r="I426" s="65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ht="14.25" customHeight="1">
      <c r="A427" s="65"/>
      <c r="B427" s="40"/>
      <c r="C427" s="40"/>
      <c r="D427" s="65"/>
      <c r="E427" s="40"/>
      <c r="F427" s="40"/>
      <c r="G427" s="40"/>
      <c r="H427" s="40"/>
      <c r="I427" s="65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ht="14.25" customHeight="1">
      <c r="A428" s="65"/>
      <c r="B428" s="40"/>
      <c r="C428" s="40"/>
      <c r="D428" s="65"/>
      <c r="E428" s="40"/>
      <c r="F428" s="40"/>
      <c r="G428" s="40"/>
      <c r="H428" s="40"/>
      <c r="I428" s="65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ht="14.25" customHeight="1">
      <c r="A429" s="65"/>
      <c r="B429" s="40"/>
      <c r="C429" s="40"/>
      <c r="D429" s="65"/>
      <c r="E429" s="40"/>
      <c r="F429" s="40"/>
      <c r="G429" s="40"/>
      <c r="H429" s="40"/>
      <c r="I429" s="65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ht="14.25" customHeight="1">
      <c r="A430" s="65"/>
      <c r="B430" s="40"/>
      <c r="C430" s="40"/>
      <c r="D430" s="65"/>
      <c r="E430" s="40"/>
      <c r="F430" s="40"/>
      <c r="G430" s="40"/>
      <c r="H430" s="40"/>
      <c r="I430" s="65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ht="14.25" customHeight="1">
      <c r="A431" s="65"/>
      <c r="B431" s="40"/>
      <c r="C431" s="40"/>
      <c r="D431" s="65"/>
      <c r="E431" s="40"/>
      <c r="F431" s="40"/>
      <c r="G431" s="40"/>
      <c r="H431" s="40"/>
      <c r="I431" s="65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ht="14.25" customHeight="1">
      <c r="A432" s="65"/>
      <c r="B432" s="40"/>
      <c r="C432" s="40"/>
      <c r="D432" s="65"/>
      <c r="E432" s="40"/>
      <c r="F432" s="40"/>
      <c r="G432" s="40"/>
      <c r="H432" s="40"/>
      <c r="I432" s="65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ht="14.25" customHeight="1">
      <c r="A433" s="65"/>
      <c r="B433" s="40"/>
      <c r="C433" s="40"/>
      <c r="D433" s="65"/>
      <c r="E433" s="40"/>
      <c r="F433" s="40"/>
      <c r="G433" s="40"/>
      <c r="H433" s="40"/>
      <c r="I433" s="65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ht="14.25" customHeight="1">
      <c r="A434" s="65"/>
      <c r="B434" s="40"/>
      <c r="C434" s="40"/>
      <c r="D434" s="65"/>
      <c r="E434" s="40"/>
      <c r="F434" s="40"/>
      <c r="G434" s="40"/>
      <c r="H434" s="40"/>
      <c r="I434" s="65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ht="14.25" customHeight="1">
      <c r="A435" s="65"/>
      <c r="B435" s="40"/>
      <c r="C435" s="40"/>
      <c r="D435" s="65"/>
      <c r="E435" s="40"/>
      <c r="F435" s="40"/>
      <c r="G435" s="40"/>
      <c r="H435" s="40"/>
      <c r="I435" s="65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ht="14.25" customHeight="1">
      <c r="A436" s="65"/>
      <c r="B436" s="40"/>
      <c r="C436" s="40"/>
      <c r="D436" s="65"/>
      <c r="E436" s="40"/>
      <c r="F436" s="40"/>
      <c r="G436" s="40"/>
      <c r="H436" s="40"/>
      <c r="I436" s="65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ht="14.25" customHeight="1">
      <c r="A437" s="65"/>
      <c r="B437" s="40"/>
      <c r="C437" s="40"/>
      <c r="D437" s="65"/>
      <c r="E437" s="40"/>
      <c r="F437" s="40"/>
      <c r="G437" s="40"/>
      <c r="H437" s="40"/>
      <c r="I437" s="65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ht="14.25" customHeight="1">
      <c r="A438" s="65"/>
      <c r="B438" s="40"/>
      <c r="C438" s="40"/>
      <c r="D438" s="65"/>
      <c r="E438" s="40"/>
      <c r="F438" s="40"/>
      <c r="G438" s="40"/>
      <c r="H438" s="40"/>
      <c r="I438" s="65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ht="14.25" customHeight="1">
      <c r="A439" s="65"/>
      <c r="B439" s="40"/>
      <c r="C439" s="40"/>
      <c r="D439" s="65"/>
      <c r="E439" s="40"/>
      <c r="F439" s="40"/>
      <c r="G439" s="40"/>
      <c r="H439" s="40"/>
      <c r="I439" s="65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ht="14.25" customHeight="1">
      <c r="A440" s="65"/>
      <c r="B440" s="40"/>
      <c r="C440" s="40"/>
      <c r="D440" s="65"/>
      <c r="E440" s="40"/>
      <c r="F440" s="40"/>
      <c r="G440" s="40"/>
      <c r="H440" s="40"/>
      <c r="I440" s="65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ht="14.25" customHeight="1">
      <c r="A441" s="65"/>
      <c r="B441" s="40"/>
      <c r="C441" s="40"/>
      <c r="D441" s="65"/>
      <c r="E441" s="40"/>
      <c r="F441" s="40"/>
      <c r="G441" s="40"/>
      <c r="H441" s="40"/>
      <c r="I441" s="65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ht="14.25" customHeight="1">
      <c r="A442" s="65"/>
      <c r="B442" s="40"/>
      <c r="C442" s="40"/>
      <c r="D442" s="65"/>
      <c r="E442" s="40"/>
      <c r="F442" s="40"/>
      <c r="G442" s="40"/>
      <c r="H442" s="40"/>
      <c r="I442" s="65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ht="14.25" customHeight="1">
      <c r="A443" s="65"/>
      <c r="B443" s="40"/>
      <c r="C443" s="40"/>
      <c r="D443" s="65"/>
      <c r="E443" s="40"/>
      <c r="F443" s="40"/>
      <c r="G443" s="40"/>
      <c r="H443" s="40"/>
      <c r="I443" s="65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ht="14.25" customHeight="1">
      <c r="A444" s="65"/>
      <c r="B444" s="40"/>
      <c r="C444" s="40"/>
      <c r="D444" s="65"/>
      <c r="E444" s="40"/>
      <c r="F444" s="40"/>
      <c r="G444" s="40"/>
      <c r="H444" s="40"/>
      <c r="I444" s="65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ht="14.25" customHeight="1">
      <c r="A445" s="65"/>
      <c r="B445" s="40"/>
      <c r="C445" s="40"/>
      <c r="D445" s="65"/>
      <c r="E445" s="40"/>
      <c r="F445" s="40"/>
      <c r="G445" s="40"/>
      <c r="H445" s="40"/>
      <c r="I445" s="65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ht="14.25" customHeight="1">
      <c r="A446" s="65"/>
      <c r="B446" s="40"/>
      <c r="C446" s="40"/>
      <c r="D446" s="65"/>
      <c r="E446" s="40"/>
      <c r="F446" s="40"/>
      <c r="G446" s="40"/>
      <c r="H446" s="40"/>
      <c r="I446" s="65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ht="14.25" customHeight="1">
      <c r="A447" s="65"/>
      <c r="B447" s="40"/>
      <c r="C447" s="40"/>
      <c r="D447" s="65"/>
      <c r="E447" s="40"/>
      <c r="F447" s="40"/>
      <c r="G447" s="40"/>
      <c r="H447" s="40"/>
      <c r="I447" s="65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ht="14.25" customHeight="1">
      <c r="A448" s="65"/>
      <c r="B448" s="40"/>
      <c r="C448" s="40"/>
      <c r="D448" s="65"/>
      <c r="E448" s="40"/>
      <c r="F448" s="40"/>
      <c r="G448" s="40"/>
      <c r="H448" s="40"/>
      <c r="I448" s="65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ht="14.25" customHeight="1">
      <c r="A449" s="65"/>
      <c r="B449" s="40"/>
      <c r="C449" s="40"/>
      <c r="D449" s="65"/>
      <c r="E449" s="40"/>
      <c r="F449" s="40"/>
      <c r="G449" s="40"/>
      <c r="H449" s="40"/>
      <c r="I449" s="65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ht="14.25" customHeight="1">
      <c r="A450" s="65"/>
      <c r="B450" s="40"/>
      <c r="C450" s="40"/>
      <c r="D450" s="65"/>
      <c r="E450" s="40"/>
      <c r="F450" s="40"/>
      <c r="G450" s="40"/>
      <c r="H450" s="40"/>
      <c r="I450" s="65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ht="14.25" customHeight="1">
      <c r="A451" s="65"/>
      <c r="B451" s="40"/>
      <c r="C451" s="40"/>
      <c r="D451" s="65"/>
      <c r="E451" s="40"/>
      <c r="F451" s="40"/>
      <c r="G451" s="40"/>
      <c r="H451" s="40"/>
      <c r="I451" s="65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ht="14.25" customHeight="1">
      <c r="A452" s="65"/>
      <c r="B452" s="40"/>
      <c r="C452" s="40"/>
      <c r="D452" s="65"/>
      <c r="E452" s="40"/>
      <c r="F452" s="40"/>
      <c r="G452" s="40"/>
      <c r="H452" s="40"/>
      <c r="I452" s="65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ht="14.25" customHeight="1">
      <c r="A453" s="65"/>
      <c r="B453" s="40"/>
      <c r="C453" s="40"/>
      <c r="D453" s="65"/>
      <c r="E453" s="40"/>
      <c r="F453" s="40"/>
      <c r="G453" s="40"/>
      <c r="H453" s="40"/>
      <c r="I453" s="65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ht="14.25" customHeight="1">
      <c r="A454" s="65"/>
      <c r="B454" s="40"/>
      <c r="C454" s="40"/>
      <c r="D454" s="65"/>
      <c r="E454" s="40"/>
      <c r="F454" s="40"/>
      <c r="G454" s="40"/>
      <c r="H454" s="40"/>
      <c r="I454" s="65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ht="14.25" customHeight="1">
      <c r="A455" s="65"/>
      <c r="B455" s="40"/>
      <c r="C455" s="40"/>
      <c r="D455" s="65"/>
      <c r="E455" s="40"/>
      <c r="F455" s="40"/>
      <c r="G455" s="40"/>
      <c r="H455" s="40"/>
      <c r="I455" s="65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ht="14.25" customHeight="1">
      <c r="A456" s="65"/>
      <c r="B456" s="40"/>
      <c r="C456" s="40"/>
      <c r="D456" s="65"/>
      <c r="E456" s="40"/>
      <c r="F456" s="40"/>
      <c r="G456" s="40"/>
      <c r="H456" s="40"/>
      <c r="I456" s="65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ht="14.25" customHeight="1">
      <c r="A457" s="65"/>
      <c r="B457" s="40"/>
      <c r="C457" s="40"/>
      <c r="D457" s="65"/>
      <c r="E457" s="40"/>
      <c r="F457" s="40"/>
      <c r="G457" s="40"/>
      <c r="H457" s="40"/>
      <c r="I457" s="65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ht="14.25" customHeight="1">
      <c r="A458" s="65"/>
      <c r="B458" s="40"/>
      <c r="C458" s="40"/>
      <c r="D458" s="65"/>
      <c r="E458" s="40"/>
      <c r="F458" s="40"/>
      <c r="G458" s="40"/>
      <c r="H458" s="40"/>
      <c r="I458" s="65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ht="14.25" customHeight="1">
      <c r="A459" s="65"/>
      <c r="B459" s="40"/>
      <c r="C459" s="40"/>
      <c r="D459" s="65"/>
      <c r="E459" s="40"/>
      <c r="F459" s="40"/>
      <c r="G459" s="40"/>
      <c r="H459" s="40"/>
      <c r="I459" s="65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ht="14.25" customHeight="1">
      <c r="A460" s="65"/>
      <c r="B460" s="40"/>
      <c r="C460" s="40"/>
      <c r="D460" s="65"/>
      <c r="E460" s="40"/>
      <c r="F460" s="40"/>
      <c r="G460" s="40"/>
      <c r="H460" s="40"/>
      <c r="I460" s="65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ht="14.25" customHeight="1">
      <c r="A461" s="65"/>
      <c r="B461" s="40"/>
      <c r="C461" s="40"/>
      <c r="D461" s="65"/>
      <c r="E461" s="40"/>
      <c r="F461" s="40"/>
      <c r="G461" s="40"/>
      <c r="H461" s="40"/>
      <c r="I461" s="65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ht="14.25" customHeight="1">
      <c r="A462" s="65"/>
      <c r="B462" s="40"/>
      <c r="C462" s="40"/>
      <c r="D462" s="65"/>
      <c r="E462" s="40"/>
      <c r="F462" s="40"/>
      <c r="G462" s="40"/>
      <c r="H462" s="40"/>
      <c r="I462" s="65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ht="14.25" customHeight="1">
      <c r="A463" s="65"/>
      <c r="B463" s="40"/>
      <c r="C463" s="40"/>
      <c r="D463" s="65"/>
      <c r="E463" s="40"/>
      <c r="F463" s="40"/>
      <c r="G463" s="40"/>
      <c r="H463" s="40"/>
      <c r="I463" s="65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ht="14.25" customHeight="1">
      <c r="A464" s="65"/>
      <c r="B464" s="40"/>
      <c r="C464" s="40"/>
      <c r="D464" s="65"/>
      <c r="E464" s="40"/>
      <c r="F464" s="40"/>
      <c r="G464" s="40"/>
      <c r="H464" s="40"/>
      <c r="I464" s="65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ht="14.25" customHeight="1">
      <c r="A465" s="65"/>
      <c r="B465" s="40"/>
      <c r="C465" s="40"/>
      <c r="D465" s="65"/>
      <c r="E465" s="40"/>
      <c r="F465" s="40"/>
      <c r="G465" s="40"/>
      <c r="H465" s="40"/>
      <c r="I465" s="65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ht="14.25" customHeight="1">
      <c r="A466" s="65"/>
      <c r="B466" s="40"/>
      <c r="C466" s="40"/>
      <c r="D466" s="65"/>
      <c r="E466" s="40"/>
      <c r="F466" s="40"/>
      <c r="G466" s="40"/>
      <c r="H466" s="40"/>
      <c r="I466" s="65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ht="14.25" customHeight="1">
      <c r="A467" s="65"/>
      <c r="B467" s="40"/>
      <c r="C467" s="40"/>
      <c r="D467" s="65"/>
      <c r="E467" s="40"/>
      <c r="F467" s="40"/>
      <c r="G467" s="40"/>
      <c r="H467" s="40"/>
      <c r="I467" s="65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ht="14.25" customHeight="1">
      <c r="A468" s="65"/>
      <c r="B468" s="40"/>
      <c r="C468" s="40"/>
      <c r="D468" s="65"/>
      <c r="E468" s="40"/>
      <c r="F468" s="40"/>
      <c r="G468" s="40"/>
      <c r="H468" s="40"/>
      <c r="I468" s="65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ht="14.25" customHeight="1">
      <c r="A469" s="65"/>
      <c r="B469" s="40"/>
      <c r="C469" s="40"/>
      <c r="D469" s="65"/>
      <c r="E469" s="40"/>
      <c r="F469" s="40"/>
      <c r="G469" s="40"/>
      <c r="H469" s="40"/>
      <c r="I469" s="65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ht="14.25" customHeight="1">
      <c r="A470" s="65"/>
      <c r="B470" s="40"/>
      <c r="C470" s="40"/>
      <c r="D470" s="65"/>
      <c r="E470" s="40"/>
      <c r="F470" s="40"/>
      <c r="G470" s="40"/>
      <c r="H470" s="40"/>
      <c r="I470" s="65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ht="14.25" customHeight="1">
      <c r="A471" s="65"/>
      <c r="B471" s="40"/>
      <c r="C471" s="40"/>
      <c r="D471" s="65"/>
      <c r="E471" s="40"/>
      <c r="F471" s="40"/>
      <c r="G471" s="40"/>
      <c r="H471" s="40"/>
      <c r="I471" s="65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ht="14.25" customHeight="1">
      <c r="A472" s="65"/>
      <c r="B472" s="40"/>
      <c r="C472" s="40"/>
      <c r="D472" s="65"/>
      <c r="E472" s="40"/>
      <c r="F472" s="40"/>
      <c r="G472" s="40"/>
      <c r="H472" s="40"/>
      <c r="I472" s="65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ht="14.25" customHeight="1">
      <c r="A473" s="65"/>
      <c r="B473" s="40"/>
      <c r="C473" s="40"/>
      <c r="D473" s="65"/>
      <c r="E473" s="40"/>
      <c r="F473" s="40"/>
      <c r="G473" s="40"/>
      <c r="H473" s="40"/>
      <c r="I473" s="65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ht="14.25" customHeight="1">
      <c r="A474" s="65"/>
      <c r="B474" s="40"/>
      <c r="C474" s="40"/>
      <c r="D474" s="65"/>
      <c r="E474" s="40"/>
      <c r="F474" s="40"/>
      <c r="G474" s="40"/>
      <c r="H474" s="40"/>
      <c r="I474" s="65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ht="14.25" customHeight="1">
      <c r="A475" s="65"/>
      <c r="B475" s="40"/>
      <c r="C475" s="40"/>
      <c r="D475" s="65"/>
      <c r="E475" s="40"/>
      <c r="F475" s="40"/>
      <c r="G475" s="40"/>
      <c r="H475" s="40"/>
      <c r="I475" s="65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ht="14.25" customHeight="1">
      <c r="A476" s="65"/>
      <c r="B476" s="40"/>
      <c r="C476" s="40"/>
      <c r="D476" s="65"/>
      <c r="E476" s="40"/>
      <c r="F476" s="40"/>
      <c r="G476" s="40"/>
      <c r="H476" s="40"/>
      <c r="I476" s="65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ht="14.25" customHeight="1">
      <c r="A477" s="65"/>
      <c r="B477" s="40"/>
      <c r="C477" s="40"/>
      <c r="D477" s="65"/>
      <c r="E477" s="40"/>
      <c r="F477" s="40"/>
      <c r="G477" s="40"/>
      <c r="H477" s="40"/>
      <c r="I477" s="65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ht="14.25" customHeight="1">
      <c r="A478" s="65"/>
      <c r="B478" s="40"/>
      <c r="C478" s="40"/>
      <c r="D478" s="65"/>
      <c r="E478" s="40"/>
      <c r="F478" s="40"/>
      <c r="G478" s="40"/>
      <c r="H478" s="40"/>
      <c r="I478" s="65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ht="14.25" customHeight="1">
      <c r="A479" s="65"/>
      <c r="B479" s="40"/>
      <c r="C479" s="40"/>
      <c r="D479" s="65"/>
      <c r="E479" s="40"/>
      <c r="F479" s="40"/>
      <c r="G479" s="40"/>
      <c r="H479" s="40"/>
      <c r="I479" s="65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ht="14.25" customHeight="1">
      <c r="A480" s="65"/>
      <c r="B480" s="40"/>
      <c r="C480" s="40"/>
      <c r="D480" s="65"/>
      <c r="E480" s="40"/>
      <c r="F480" s="40"/>
      <c r="G480" s="40"/>
      <c r="H480" s="40"/>
      <c r="I480" s="65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ht="14.25" customHeight="1">
      <c r="A481" s="65"/>
      <c r="B481" s="40"/>
      <c r="C481" s="40"/>
      <c r="D481" s="65"/>
      <c r="E481" s="40"/>
      <c r="F481" s="40"/>
      <c r="G481" s="40"/>
      <c r="H481" s="40"/>
      <c r="I481" s="65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ht="14.25" customHeight="1">
      <c r="A482" s="65"/>
      <c r="B482" s="40"/>
      <c r="C482" s="40"/>
      <c r="D482" s="65"/>
      <c r="E482" s="40"/>
      <c r="F482" s="40"/>
      <c r="G482" s="40"/>
      <c r="H482" s="40"/>
      <c r="I482" s="65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ht="14.25" customHeight="1">
      <c r="A483" s="65"/>
      <c r="B483" s="40"/>
      <c r="C483" s="40"/>
      <c r="D483" s="65"/>
      <c r="E483" s="40"/>
      <c r="F483" s="40"/>
      <c r="G483" s="40"/>
      <c r="H483" s="40"/>
      <c r="I483" s="65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ht="14.25" customHeight="1">
      <c r="A484" s="65"/>
      <c r="B484" s="40"/>
      <c r="C484" s="40"/>
      <c r="D484" s="65"/>
      <c r="E484" s="40"/>
      <c r="F484" s="40"/>
      <c r="G484" s="40"/>
      <c r="H484" s="40"/>
      <c r="I484" s="65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ht="14.25" customHeight="1">
      <c r="A485" s="65"/>
      <c r="B485" s="40"/>
      <c r="C485" s="40"/>
      <c r="D485" s="65"/>
      <c r="E485" s="40"/>
      <c r="F485" s="40"/>
      <c r="G485" s="40"/>
      <c r="H485" s="40"/>
      <c r="I485" s="65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ht="14.25" customHeight="1">
      <c r="A486" s="65"/>
      <c r="B486" s="40"/>
      <c r="C486" s="40"/>
      <c r="D486" s="65"/>
      <c r="E486" s="40"/>
      <c r="F486" s="40"/>
      <c r="G486" s="40"/>
      <c r="H486" s="40"/>
      <c r="I486" s="65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ht="14.25" customHeight="1">
      <c r="A487" s="65"/>
      <c r="B487" s="40"/>
      <c r="C487" s="40"/>
      <c r="D487" s="65"/>
      <c r="E487" s="40"/>
      <c r="F487" s="40"/>
      <c r="G487" s="40"/>
      <c r="H487" s="40"/>
      <c r="I487" s="65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ht="14.25" customHeight="1">
      <c r="A488" s="65"/>
      <c r="B488" s="40"/>
      <c r="C488" s="40"/>
      <c r="D488" s="65"/>
      <c r="E488" s="40"/>
      <c r="F488" s="40"/>
      <c r="G488" s="40"/>
      <c r="H488" s="40"/>
      <c r="I488" s="65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ht="14.25" customHeight="1">
      <c r="A489" s="65"/>
      <c r="B489" s="40"/>
      <c r="C489" s="40"/>
      <c r="D489" s="65"/>
      <c r="E489" s="40"/>
      <c r="F489" s="40"/>
      <c r="G489" s="40"/>
      <c r="H489" s="40"/>
      <c r="I489" s="65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ht="14.25" customHeight="1">
      <c r="A490" s="65"/>
      <c r="B490" s="40"/>
      <c r="C490" s="40"/>
      <c r="D490" s="65"/>
      <c r="E490" s="40"/>
      <c r="F490" s="40"/>
      <c r="G490" s="40"/>
      <c r="H490" s="40"/>
      <c r="I490" s="65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ht="14.25" customHeight="1">
      <c r="A491" s="65"/>
      <c r="B491" s="40"/>
      <c r="C491" s="40"/>
      <c r="D491" s="65"/>
      <c r="E491" s="40"/>
      <c r="F491" s="40"/>
      <c r="G491" s="40"/>
      <c r="H491" s="40"/>
      <c r="I491" s="65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ht="14.25" customHeight="1">
      <c r="A492" s="65"/>
      <c r="B492" s="40"/>
      <c r="C492" s="40"/>
      <c r="D492" s="65"/>
      <c r="E492" s="40"/>
      <c r="F492" s="40"/>
      <c r="G492" s="40"/>
      <c r="H492" s="40"/>
      <c r="I492" s="65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ht="14.25" customHeight="1">
      <c r="A493" s="65"/>
      <c r="B493" s="40"/>
      <c r="C493" s="40"/>
      <c r="D493" s="65"/>
      <c r="E493" s="40"/>
      <c r="F493" s="40"/>
      <c r="G493" s="40"/>
      <c r="H493" s="40"/>
      <c r="I493" s="65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ht="14.25" customHeight="1">
      <c r="A494" s="65"/>
      <c r="B494" s="40"/>
      <c r="C494" s="40"/>
      <c r="D494" s="65"/>
      <c r="E494" s="40"/>
      <c r="F494" s="40"/>
      <c r="G494" s="40"/>
      <c r="H494" s="40"/>
      <c r="I494" s="65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ht="14.25" customHeight="1">
      <c r="A495" s="65"/>
      <c r="B495" s="40"/>
      <c r="C495" s="40"/>
      <c r="D495" s="65"/>
      <c r="E495" s="40"/>
      <c r="F495" s="40"/>
      <c r="G495" s="40"/>
      <c r="H495" s="40"/>
      <c r="I495" s="65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ht="14.25" customHeight="1">
      <c r="A496" s="65"/>
      <c r="B496" s="40"/>
      <c r="C496" s="40"/>
      <c r="D496" s="65"/>
      <c r="E496" s="40"/>
      <c r="F496" s="40"/>
      <c r="G496" s="40"/>
      <c r="H496" s="40"/>
      <c r="I496" s="65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ht="14.25" customHeight="1">
      <c r="A497" s="65"/>
      <c r="B497" s="40"/>
      <c r="C497" s="40"/>
      <c r="D497" s="65"/>
      <c r="E497" s="40"/>
      <c r="F497" s="40"/>
      <c r="G497" s="40"/>
      <c r="H497" s="40"/>
      <c r="I497" s="65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ht="14.25" customHeight="1">
      <c r="A498" s="65"/>
      <c r="B498" s="40"/>
      <c r="C498" s="40"/>
      <c r="D498" s="65"/>
      <c r="E498" s="40"/>
      <c r="F498" s="40"/>
      <c r="G498" s="40"/>
      <c r="H498" s="40"/>
      <c r="I498" s="65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ht="14.25" customHeight="1">
      <c r="A499" s="65"/>
      <c r="B499" s="40"/>
      <c r="C499" s="40"/>
      <c r="D499" s="65"/>
      <c r="E499" s="40"/>
      <c r="F499" s="40"/>
      <c r="G499" s="40"/>
      <c r="H499" s="40"/>
      <c r="I499" s="65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ht="14.25" customHeight="1">
      <c r="A500" s="65"/>
      <c r="B500" s="40"/>
      <c r="C500" s="40"/>
      <c r="D500" s="65"/>
      <c r="E500" s="40"/>
      <c r="F500" s="40"/>
      <c r="G500" s="40"/>
      <c r="H500" s="40"/>
      <c r="I500" s="65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ht="14.25" customHeight="1">
      <c r="A501" s="65"/>
      <c r="B501" s="40"/>
      <c r="C501" s="40"/>
      <c r="D501" s="65"/>
      <c r="E501" s="40"/>
      <c r="F501" s="40"/>
      <c r="G501" s="40"/>
      <c r="H501" s="40"/>
      <c r="I501" s="65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ht="14.25" customHeight="1">
      <c r="A502" s="65"/>
      <c r="B502" s="40"/>
      <c r="C502" s="40"/>
      <c r="D502" s="65"/>
      <c r="E502" s="40"/>
      <c r="F502" s="40"/>
      <c r="G502" s="40"/>
      <c r="H502" s="40"/>
      <c r="I502" s="65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ht="14.25" customHeight="1">
      <c r="A503" s="65"/>
      <c r="B503" s="40"/>
      <c r="C503" s="40"/>
      <c r="D503" s="65"/>
      <c r="E503" s="40"/>
      <c r="F503" s="40"/>
      <c r="G503" s="40"/>
      <c r="H503" s="40"/>
      <c r="I503" s="65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ht="14.25" customHeight="1">
      <c r="A504" s="65"/>
      <c r="B504" s="40"/>
      <c r="C504" s="40"/>
      <c r="D504" s="65"/>
      <c r="E504" s="40"/>
      <c r="F504" s="40"/>
      <c r="G504" s="40"/>
      <c r="H504" s="40"/>
      <c r="I504" s="65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ht="14.25" customHeight="1">
      <c r="A505" s="65"/>
      <c r="B505" s="40"/>
      <c r="C505" s="40"/>
      <c r="D505" s="65"/>
      <c r="E505" s="40"/>
      <c r="F505" s="40"/>
      <c r="G505" s="40"/>
      <c r="H505" s="40"/>
      <c r="I505" s="65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ht="14.25" customHeight="1">
      <c r="A506" s="65"/>
      <c r="B506" s="40"/>
      <c r="C506" s="40"/>
      <c r="D506" s="65"/>
      <c r="E506" s="40"/>
      <c r="F506" s="40"/>
      <c r="G506" s="40"/>
      <c r="H506" s="40"/>
      <c r="I506" s="65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ht="14.25" customHeight="1">
      <c r="A507" s="65"/>
      <c r="B507" s="40"/>
      <c r="C507" s="40"/>
      <c r="D507" s="65"/>
      <c r="E507" s="40"/>
      <c r="F507" s="40"/>
      <c r="G507" s="40"/>
      <c r="H507" s="40"/>
      <c r="I507" s="65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ht="14.25" customHeight="1">
      <c r="A508" s="65"/>
      <c r="B508" s="40"/>
      <c r="C508" s="40"/>
      <c r="D508" s="65"/>
      <c r="E508" s="40"/>
      <c r="F508" s="40"/>
      <c r="G508" s="40"/>
      <c r="H508" s="40"/>
      <c r="I508" s="65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ht="14.25" customHeight="1">
      <c r="A509" s="65"/>
      <c r="B509" s="40"/>
      <c r="C509" s="40"/>
      <c r="D509" s="65"/>
      <c r="E509" s="40"/>
      <c r="F509" s="40"/>
      <c r="G509" s="40"/>
      <c r="H509" s="40"/>
      <c r="I509" s="65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ht="14.25" customHeight="1">
      <c r="A510" s="65"/>
      <c r="B510" s="40"/>
      <c r="C510" s="40"/>
      <c r="D510" s="65"/>
      <c r="E510" s="40"/>
      <c r="F510" s="40"/>
      <c r="G510" s="40"/>
      <c r="H510" s="40"/>
      <c r="I510" s="65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ht="14.25" customHeight="1">
      <c r="A511" s="65"/>
      <c r="B511" s="40"/>
      <c r="C511" s="40"/>
      <c r="D511" s="65"/>
      <c r="E511" s="40"/>
      <c r="F511" s="40"/>
      <c r="G511" s="40"/>
      <c r="H511" s="40"/>
      <c r="I511" s="65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ht="14.25" customHeight="1">
      <c r="A512" s="65"/>
      <c r="B512" s="40"/>
      <c r="C512" s="40"/>
      <c r="D512" s="65"/>
      <c r="E512" s="40"/>
      <c r="F512" s="40"/>
      <c r="G512" s="40"/>
      <c r="H512" s="40"/>
      <c r="I512" s="65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ht="14.25" customHeight="1">
      <c r="A513" s="65"/>
      <c r="B513" s="40"/>
      <c r="C513" s="40"/>
      <c r="D513" s="65"/>
      <c r="E513" s="40"/>
      <c r="F513" s="40"/>
      <c r="G513" s="40"/>
      <c r="H513" s="40"/>
      <c r="I513" s="65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ht="14.25" customHeight="1">
      <c r="A514" s="65"/>
      <c r="B514" s="40"/>
      <c r="C514" s="40"/>
      <c r="D514" s="65"/>
      <c r="E514" s="40"/>
      <c r="F514" s="40"/>
      <c r="G514" s="40"/>
      <c r="H514" s="40"/>
      <c r="I514" s="65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ht="14.25" customHeight="1">
      <c r="A515" s="65"/>
      <c r="B515" s="40"/>
      <c r="C515" s="40"/>
      <c r="D515" s="65"/>
      <c r="E515" s="40"/>
      <c r="F515" s="40"/>
      <c r="G515" s="40"/>
      <c r="H515" s="40"/>
      <c r="I515" s="65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ht="14.25" customHeight="1">
      <c r="A516" s="65"/>
      <c r="B516" s="40"/>
      <c r="C516" s="40"/>
      <c r="D516" s="65"/>
      <c r="E516" s="40"/>
      <c r="F516" s="40"/>
      <c r="G516" s="40"/>
      <c r="H516" s="40"/>
      <c r="I516" s="65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ht="14.25" customHeight="1">
      <c r="A517" s="65"/>
      <c r="B517" s="40"/>
      <c r="C517" s="40"/>
      <c r="D517" s="65"/>
      <c r="E517" s="40"/>
      <c r="F517" s="40"/>
      <c r="G517" s="40"/>
      <c r="H517" s="40"/>
      <c r="I517" s="65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ht="14.25" customHeight="1">
      <c r="A518" s="65"/>
      <c r="B518" s="40"/>
      <c r="C518" s="40"/>
      <c r="D518" s="65"/>
      <c r="E518" s="40"/>
      <c r="F518" s="40"/>
      <c r="G518" s="40"/>
      <c r="H518" s="40"/>
      <c r="I518" s="65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ht="14.25" customHeight="1">
      <c r="A519" s="65"/>
      <c r="B519" s="40"/>
      <c r="C519" s="40"/>
      <c r="D519" s="65"/>
      <c r="E519" s="40"/>
      <c r="F519" s="40"/>
      <c r="G519" s="40"/>
      <c r="H519" s="40"/>
      <c r="I519" s="65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ht="14.25" customHeight="1">
      <c r="A520" s="65"/>
      <c r="B520" s="40"/>
      <c r="C520" s="40"/>
      <c r="D520" s="65"/>
      <c r="E520" s="40"/>
      <c r="F520" s="40"/>
      <c r="G520" s="40"/>
      <c r="H520" s="40"/>
      <c r="I520" s="65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ht="14.25" customHeight="1">
      <c r="A521" s="65"/>
      <c r="B521" s="40"/>
      <c r="C521" s="40"/>
      <c r="D521" s="65"/>
      <c r="E521" s="40"/>
      <c r="F521" s="40"/>
      <c r="G521" s="40"/>
      <c r="H521" s="40"/>
      <c r="I521" s="65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ht="14.25" customHeight="1">
      <c r="A522" s="65"/>
      <c r="B522" s="40"/>
      <c r="C522" s="40"/>
      <c r="D522" s="65"/>
      <c r="E522" s="40"/>
      <c r="F522" s="40"/>
      <c r="G522" s="40"/>
      <c r="H522" s="40"/>
      <c r="I522" s="65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ht="14.25" customHeight="1">
      <c r="A523" s="65"/>
      <c r="B523" s="40"/>
      <c r="C523" s="40"/>
      <c r="D523" s="65"/>
      <c r="E523" s="40"/>
      <c r="F523" s="40"/>
      <c r="G523" s="40"/>
      <c r="H523" s="40"/>
      <c r="I523" s="65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ht="14.25" customHeight="1">
      <c r="A524" s="65"/>
      <c r="B524" s="40"/>
      <c r="C524" s="40"/>
      <c r="D524" s="65"/>
      <c r="E524" s="40"/>
      <c r="F524" s="40"/>
      <c r="G524" s="40"/>
      <c r="H524" s="40"/>
      <c r="I524" s="65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ht="14.25" customHeight="1">
      <c r="A525" s="65"/>
      <c r="B525" s="40"/>
      <c r="C525" s="40"/>
      <c r="D525" s="65"/>
      <c r="E525" s="40"/>
      <c r="F525" s="40"/>
      <c r="G525" s="40"/>
      <c r="H525" s="40"/>
      <c r="I525" s="65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ht="14.25" customHeight="1">
      <c r="A526" s="65"/>
      <c r="B526" s="40"/>
      <c r="C526" s="40"/>
      <c r="D526" s="65"/>
      <c r="E526" s="40"/>
      <c r="F526" s="40"/>
      <c r="G526" s="40"/>
      <c r="H526" s="40"/>
      <c r="I526" s="65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ht="14.25" customHeight="1">
      <c r="A527" s="65"/>
      <c r="B527" s="40"/>
      <c r="C527" s="40"/>
      <c r="D527" s="65"/>
      <c r="E527" s="40"/>
      <c r="F527" s="40"/>
      <c r="G527" s="40"/>
      <c r="H527" s="40"/>
      <c r="I527" s="65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ht="14.25" customHeight="1">
      <c r="A528" s="65"/>
      <c r="B528" s="40"/>
      <c r="C528" s="40"/>
      <c r="D528" s="65"/>
      <c r="E528" s="40"/>
      <c r="F528" s="40"/>
      <c r="G528" s="40"/>
      <c r="H528" s="40"/>
      <c r="I528" s="65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ht="14.25" customHeight="1">
      <c r="A529" s="65"/>
      <c r="B529" s="40"/>
      <c r="C529" s="40"/>
      <c r="D529" s="65"/>
      <c r="E529" s="40"/>
      <c r="F529" s="40"/>
      <c r="G529" s="40"/>
      <c r="H529" s="40"/>
      <c r="I529" s="65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ht="14.25" customHeight="1">
      <c r="A530" s="65"/>
      <c r="B530" s="40"/>
      <c r="C530" s="40"/>
      <c r="D530" s="65"/>
      <c r="E530" s="40"/>
      <c r="F530" s="40"/>
      <c r="G530" s="40"/>
      <c r="H530" s="40"/>
      <c r="I530" s="65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ht="14.25" customHeight="1">
      <c r="A531" s="65"/>
      <c r="B531" s="40"/>
      <c r="C531" s="40"/>
      <c r="D531" s="65"/>
      <c r="E531" s="40"/>
      <c r="F531" s="40"/>
      <c r="G531" s="40"/>
      <c r="H531" s="40"/>
      <c r="I531" s="65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ht="14.25" customHeight="1">
      <c r="A532" s="65"/>
      <c r="B532" s="40"/>
      <c r="C532" s="40"/>
      <c r="D532" s="65"/>
      <c r="E532" s="40"/>
      <c r="F532" s="40"/>
      <c r="G532" s="40"/>
      <c r="H532" s="40"/>
      <c r="I532" s="65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ht="14.25" customHeight="1">
      <c r="A533" s="65"/>
      <c r="B533" s="40"/>
      <c r="C533" s="40"/>
      <c r="D533" s="65"/>
      <c r="E533" s="40"/>
      <c r="F533" s="40"/>
      <c r="G533" s="40"/>
      <c r="H533" s="40"/>
      <c r="I533" s="65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ht="14.25" customHeight="1">
      <c r="A534" s="65"/>
      <c r="B534" s="40"/>
      <c r="C534" s="40"/>
      <c r="D534" s="65"/>
      <c r="E534" s="40"/>
      <c r="F534" s="40"/>
      <c r="G534" s="40"/>
      <c r="H534" s="40"/>
      <c r="I534" s="65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ht="14.25" customHeight="1">
      <c r="A535" s="65"/>
      <c r="B535" s="40"/>
      <c r="C535" s="40"/>
      <c r="D535" s="65"/>
      <c r="E535" s="40"/>
      <c r="F535" s="40"/>
      <c r="G535" s="40"/>
      <c r="H535" s="40"/>
      <c r="I535" s="65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ht="14.25" customHeight="1">
      <c r="A536" s="65"/>
      <c r="B536" s="40"/>
      <c r="C536" s="40"/>
      <c r="D536" s="65"/>
      <c r="E536" s="40"/>
      <c r="F536" s="40"/>
      <c r="G536" s="40"/>
      <c r="H536" s="40"/>
      <c r="I536" s="65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ht="14.25" customHeight="1">
      <c r="A537" s="65"/>
      <c r="B537" s="40"/>
      <c r="C537" s="40"/>
      <c r="D537" s="65"/>
      <c r="E537" s="40"/>
      <c r="F537" s="40"/>
      <c r="G537" s="40"/>
      <c r="H537" s="40"/>
      <c r="I537" s="65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ht="14.25" customHeight="1">
      <c r="A538" s="65"/>
      <c r="B538" s="40"/>
      <c r="C538" s="40"/>
      <c r="D538" s="65"/>
      <c r="E538" s="40"/>
      <c r="F538" s="40"/>
      <c r="G538" s="40"/>
      <c r="H538" s="40"/>
      <c r="I538" s="65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ht="14.25" customHeight="1">
      <c r="A539" s="65"/>
      <c r="B539" s="40"/>
      <c r="C539" s="40"/>
      <c r="D539" s="65"/>
      <c r="E539" s="40"/>
      <c r="F539" s="40"/>
      <c r="G539" s="40"/>
      <c r="H539" s="40"/>
      <c r="I539" s="65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ht="14.25" customHeight="1">
      <c r="A540" s="65"/>
      <c r="B540" s="40"/>
      <c r="C540" s="40"/>
      <c r="D540" s="65"/>
      <c r="E540" s="40"/>
      <c r="F540" s="40"/>
      <c r="G540" s="40"/>
      <c r="H540" s="40"/>
      <c r="I540" s="65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ht="14.25" customHeight="1">
      <c r="A541" s="65"/>
      <c r="B541" s="40"/>
      <c r="C541" s="40"/>
      <c r="D541" s="65"/>
      <c r="E541" s="40"/>
      <c r="F541" s="40"/>
      <c r="G541" s="40"/>
      <c r="H541" s="40"/>
      <c r="I541" s="65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ht="14.25" customHeight="1">
      <c r="A542" s="65"/>
      <c r="B542" s="40"/>
      <c r="C542" s="40"/>
      <c r="D542" s="65"/>
      <c r="E542" s="40"/>
      <c r="F542" s="40"/>
      <c r="G542" s="40"/>
      <c r="H542" s="40"/>
      <c r="I542" s="65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ht="14.25" customHeight="1">
      <c r="A543" s="65"/>
      <c r="B543" s="40"/>
      <c r="C543" s="40"/>
      <c r="D543" s="65"/>
      <c r="E543" s="40"/>
      <c r="F543" s="40"/>
      <c r="G543" s="40"/>
      <c r="H543" s="40"/>
      <c r="I543" s="65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ht="14.25" customHeight="1">
      <c r="A544" s="65"/>
      <c r="B544" s="40"/>
      <c r="C544" s="40"/>
      <c r="D544" s="65"/>
      <c r="E544" s="40"/>
      <c r="F544" s="40"/>
      <c r="G544" s="40"/>
      <c r="H544" s="40"/>
      <c r="I544" s="65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ht="14.25" customHeight="1">
      <c r="A545" s="65"/>
      <c r="B545" s="40"/>
      <c r="C545" s="40"/>
      <c r="D545" s="65"/>
      <c r="E545" s="40"/>
      <c r="F545" s="40"/>
      <c r="G545" s="40"/>
      <c r="H545" s="40"/>
      <c r="I545" s="65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ht="14.25" customHeight="1">
      <c r="A546" s="65"/>
      <c r="B546" s="40"/>
      <c r="C546" s="40"/>
      <c r="D546" s="65"/>
      <c r="E546" s="40"/>
      <c r="F546" s="40"/>
      <c r="G546" s="40"/>
      <c r="H546" s="40"/>
      <c r="I546" s="65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ht="14.25" customHeight="1">
      <c r="A547" s="65"/>
      <c r="B547" s="40"/>
      <c r="C547" s="40"/>
      <c r="D547" s="65"/>
      <c r="E547" s="40"/>
      <c r="F547" s="40"/>
      <c r="G547" s="40"/>
      <c r="H547" s="40"/>
      <c r="I547" s="65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ht="14.25" customHeight="1">
      <c r="A548" s="65"/>
      <c r="B548" s="40"/>
      <c r="C548" s="40"/>
      <c r="D548" s="65"/>
      <c r="E548" s="40"/>
      <c r="F548" s="40"/>
      <c r="G548" s="40"/>
      <c r="H548" s="40"/>
      <c r="I548" s="65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ht="14.25" customHeight="1">
      <c r="A549" s="65"/>
      <c r="B549" s="40"/>
      <c r="C549" s="40"/>
      <c r="D549" s="65"/>
      <c r="E549" s="40"/>
      <c r="F549" s="40"/>
      <c r="G549" s="40"/>
      <c r="H549" s="40"/>
      <c r="I549" s="65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ht="14.25" customHeight="1">
      <c r="A550" s="65"/>
      <c r="B550" s="40"/>
      <c r="C550" s="40"/>
      <c r="D550" s="65"/>
      <c r="E550" s="40"/>
      <c r="F550" s="40"/>
      <c r="G550" s="40"/>
      <c r="H550" s="40"/>
      <c r="I550" s="65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ht="14.25" customHeight="1">
      <c r="A551" s="65"/>
      <c r="B551" s="40"/>
      <c r="C551" s="40"/>
      <c r="D551" s="65"/>
      <c r="E551" s="40"/>
      <c r="F551" s="40"/>
      <c r="G551" s="40"/>
      <c r="H551" s="40"/>
      <c r="I551" s="65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ht="14.25" customHeight="1">
      <c r="A552" s="65"/>
      <c r="B552" s="40"/>
      <c r="C552" s="40"/>
      <c r="D552" s="65"/>
      <c r="E552" s="40"/>
      <c r="F552" s="40"/>
      <c r="G552" s="40"/>
      <c r="H552" s="40"/>
      <c r="I552" s="65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ht="14.25" customHeight="1">
      <c r="A553" s="65"/>
      <c r="B553" s="40"/>
      <c r="C553" s="40"/>
      <c r="D553" s="65"/>
      <c r="E553" s="40"/>
      <c r="F553" s="40"/>
      <c r="G553" s="40"/>
      <c r="H553" s="40"/>
      <c r="I553" s="65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ht="14.25" customHeight="1">
      <c r="A554" s="65"/>
      <c r="B554" s="40"/>
      <c r="C554" s="40"/>
      <c r="D554" s="65"/>
      <c r="E554" s="40"/>
      <c r="F554" s="40"/>
      <c r="G554" s="40"/>
      <c r="H554" s="40"/>
      <c r="I554" s="65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ht="14.25" customHeight="1">
      <c r="A555" s="65"/>
      <c r="B555" s="40"/>
      <c r="C555" s="40"/>
      <c r="D555" s="65"/>
      <c r="E555" s="40"/>
      <c r="F555" s="40"/>
      <c r="G555" s="40"/>
      <c r="H555" s="40"/>
      <c r="I555" s="65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ht="14.25" customHeight="1">
      <c r="A556" s="65"/>
      <c r="B556" s="40"/>
      <c r="C556" s="40"/>
      <c r="D556" s="65"/>
      <c r="E556" s="40"/>
      <c r="F556" s="40"/>
      <c r="G556" s="40"/>
      <c r="H556" s="40"/>
      <c r="I556" s="65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ht="14.25" customHeight="1">
      <c r="A557" s="65"/>
      <c r="B557" s="40"/>
      <c r="C557" s="40"/>
      <c r="D557" s="65"/>
      <c r="E557" s="40"/>
      <c r="F557" s="40"/>
      <c r="G557" s="40"/>
      <c r="H557" s="40"/>
      <c r="I557" s="65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ht="14.25" customHeight="1">
      <c r="A558" s="65"/>
      <c r="B558" s="40"/>
      <c r="C558" s="40"/>
      <c r="D558" s="65"/>
      <c r="E558" s="40"/>
      <c r="F558" s="40"/>
      <c r="G558" s="40"/>
      <c r="H558" s="40"/>
      <c r="I558" s="65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ht="14.25" customHeight="1">
      <c r="A559" s="65"/>
      <c r="B559" s="40"/>
      <c r="C559" s="40"/>
      <c r="D559" s="65"/>
      <c r="E559" s="40"/>
      <c r="F559" s="40"/>
      <c r="G559" s="40"/>
      <c r="H559" s="40"/>
      <c r="I559" s="65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ht="14.25" customHeight="1">
      <c r="A560" s="65"/>
      <c r="B560" s="40"/>
      <c r="C560" s="40"/>
      <c r="D560" s="65"/>
      <c r="E560" s="40"/>
      <c r="F560" s="40"/>
      <c r="G560" s="40"/>
      <c r="H560" s="40"/>
      <c r="I560" s="65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ht="14.25" customHeight="1">
      <c r="A561" s="65"/>
      <c r="B561" s="40"/>
      <c r="C561" s="40"/>
      <c r="D561" s="65"/>
      <c r="E561" s="40"/>
      <c r="F561" s="40"/>
      <c r="G561" s="40"/>
      <c r="H561" s="40"/>
      <c r="I561" s="65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ht="14.25" customHeight="1">
      <c r="A562" s="65"/>
      <c r="B562" s="40"/>
      <c r="C562" s="40"/>
      <c r="D562" s="65"/>
      <c r="E562" s="40"/>
      <c r="F562" s="40"/>
      <c r="G562" s="40"/>
      <c r="H562" s="40"/>
      <c r="I562" s="65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ht="14.25" customHeight="1">
      <c r="A563" s="65"/>
      <c r="B563" s="40"/>
      <c r="C563" s="40"/>
      <c r="D563" s="65"/>
      <c r="E563" s="40"/>
      <c r="F563" s="40"/>
      <c r="G563" s="40"/>
      <c r="H563" s="40"/>
      <c r="I563" s="65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ht="14.25" customHeight="1">
      <c r="A564" s="65"/>
      <c r="B564" s="40"/>
      <c r="C564" s="40"/>
      <c r="D564" s="65"/>
      <c r="E564" s="40"/>
      <c r="F564" s="40"/>
      <c r="G564" s="40"/>
      <c r="H564" s="40"/>
      <c r="I564" s="65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ht="14.25" customHeight="1">
      <c r="A565" s="65"/>
      <c r="B565" s="40"/>
      <c r="C565" s="40"/>
      <c r="D565" s="65"/>
      <c r="E565" s="40"/>
      <c r="F565" s="40"/>
      <c r="G565" s="40"/>
      <c r="H565" s="40"/>
      <c r="I565" s="65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ht="14.25" customHeight="1">
      <c r="A566" s="65"/>
      <c r="B566" s="40"/>
      <c r="C566" s="40"/>
      <c r="D566" s="65"/>
      <c r="E566" s="40"/>
      <c r="F566" s="40"/>
      <c r="G566" s="40"/>
      <c r="H566" s="40"/>
      <c r="I566" s="65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ht="14.25" customHeight="1">
      <c r="A567" s="65"/>
      <c r="B567" s="40"/>
      <c r="C567" s="40"/>
      <c r="D567" s="65"/>
      <c r="E567" s="40"/>
      <c r="F567" s="40"/>
      <c r="G567" s="40"/>
      <c r="H567" s="40"/>
      <c r="I567" s="65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ht="14.25" customHeight="1">
      <c r="A568" s="65"/>
      <c r="B568" s="40"/>
      <c r="C568" s="40"/>
      <c r="D568" s="65"/>
      <c r="E568" s="40"/>
      <c r="F568" s="40"/>
      <c r="G568" s="40"/>
      <c r="H568" s="40"/>
      <c r="I568" s="65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ht="14.25" customHeight="1">
      <c r="A569" s="65"/>
      <c r="B569" s="40"/>
      <c r="C569" s="40"/>
      <c r="D569" s="65"/>
      <c r="E569" s="40"/>
      <c r="F569" s="40"/>
      <c r="G569" s="40"/>
      <c r="H569" s="40"/>
      <c r="I569" s="65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ht="14.25" customHeight="1">
      <c r="A570" s="65"/>
      <c r="B570" s="40"/>
      <c r="C570" s="40"/>
      <c r="D570" s="65"/>
      <c r="E570" s="40"/>
      <c r="F570" s="40"/>
      <c r="G570" s="40"/>
      <c r="H570" s="40"/>
      <c r="I570" s="65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ht="14.25" customHeight="1">
      <c r="A571" s="65"/>
      <c r="B571" s="40"/>
      <c r="C571" s="40"/>
      <c r="D571" s="65"/>
      <c r="E571" s="40"/>
      <c r="F571" s="40"/>
      <c r="G571" s="40"/>
      <c r="H571" s="40"/>
      <c r="I571" s="65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ht="14.25" customHeight="1">
      <c r="A572" s="65"/>
      <c r="B572" s="40"/>
      <c r="C572" s="40"/>
      <c r="D572" s="65"/>
      <c r="E572" s="40"/>
      <c r="F572" s="40"/>
      <c r="G572" s="40"/>
      <c r="H572" s="40"/>
      <c r="I572" s="65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ht="14.25" customHeight="1">
      <c r="A573" s="65"/>
      <c r="B573" s="40"/>
      <c r="C573" s="40"/>
      <c r="D573" s="65"/>
      <c r="E573" s="40"/>
      <c r="F573" s="40"/>
      <c r="G573" s="40"/>
      <c r="H573" s="40"/>
      <c r="I573" s="65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ht="14.25" customHeight="1">
      <c r="A574" s="65"/>
      <c r="B574" s="40"/>
      <c r="C574" s="40"/>
      <c r="D574" s="65"/>
      <c r="E574" s="40"/>
      <c r="F574" s="40"/>
      <c r="G574" s="40"/>
      <c r="H574" s="40"/>
      <c r="I574" s="65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ht="14.25" customHeight="1">
      <c r="A575" s="65"/>
      <c r="B575" s="40"/>
      <c r="C575" s="40"/>
      <c r="D575" s="65"/>
      <c r="E575" s="40"/>
      <c r="F575" s="40"/>
      <c r="G575" s="40"/>
      <c r="H575" s="40"/>
      <c r="I575" s="65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ht="14.25" customHeight="1">
      <c r="A576" s="65"/>
      <c r="B576" s="40"/>
      <c r="C576" s="40"/>
      <c r="D576" s="65"/>
      <c r="E576" s="40"/>
      <c r="F576" s="40"/>
      <c r="G576" s="40"/>
      <c r="H576" s="40"/>
      <c r="I576" s="65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ht="14.25" customHeight="1">
      <c r="A577" s="65"/>
      <c r="B577" s="40"/>
      <c r="C577" s="40"/>
      <c r="D577" s="65"/>
      <c r="E577" s="40"/>
      <c r="F577" s="40"/>
      <c r="G577" s="40"/>
      <c r="H577" s="40"/>
      <c r="I577" s="65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ht="14.25" customHeight="1">
      <c r="A578" s="65"/>
      <c r="B578" s="40"/>
      <c r="C578" s="40"/>
      <c r="D578" s="65"/>
      <c r="E578" s="40"/>
      <c r="F578" s="40"/>
      <c r="G578" s="40"/>
      <c r="H578" s="40"/>
      <c r="I578" s="65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ht="14.25" customHeight="1">
      <c r="A579" s="65"/>
      <c r="B579" s="40"/>
      <c r="C579" s="40"/>
      <c r="D579" s="65"/>
      <c r="E579" s="40"/>
      <c r="F579" s="40"/>
      <c r="G579" s="40"/>
      <c r="H579" s="40"/>
      <c r="I579" s="65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ht="14.25" customHeight="1">
      <c r="A580" s="65"/>
      <c r="B580" s="40"/>
      <c r="C580" s="40"/>
      <c r="D580" s="65"/>
      <c r="E580" s="40"/>
      <c r="F580" s="40"/>
      <c r="G580" s="40"/>
      <c r="H580" s="40"/>
      <c r="I580" s="65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ht="14.25" customHeight="1">
      <c r="A581" s="65"/>
      <c r="B581" s="40"/>
      <c r="C581" s="40"/>
      <c r="D581" s="65"/>
      <c r="E581" s="40"/>
      <c r="F581" s="40"/>
      <c r="G581" s="40"/>
      <c r="H581" s="40"/>
      <c r="I581" s="65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ht="14.25" customHeight="1">
      <c r="A582" s="65"/>
      <c r="B582" s="40"/>
      <c r="C582" s="40"/>
      <c r="D582" s="65"/>
      <c r="E582" s="40"/>
      <c r="F582" s="40"/>
      <c r="G582" s="40"/>
      <c r="H582" s="40"/>
      <c r="I582" s="65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ht="14.25" customHeight="1">
      <c r="A583" s="65"/>
      <c r="B583" s="40"/>
      <c r="C583" s="40"/>
      <c r="D583" s="65"/>
      <c r="E583" s="40"/>
      <c r="F583" s="40"/>
      <c r="G583" s="40"/>
      <c r="H583" s="40"/>
      <c r="I583" s="65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ht="14.25" customHeight="1">
      <c r="A584" s="65"/>
      <c r="B584" s="40"/>
      <c r="C584" s="40"/>
      <c r="D584" s="65"/>
      <c r="E584" s="40"/>
      <c r="F584" s="40"/>
      <c r="G584" s="40"/>
      <c r="H584" s="40"/>
      <c r="I584" s="65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ht="14.25" customHeight="1">
      <c r="A585" s="65"/>
      <c r="B585" s="40"/>
      <c r="C585" s="40"/>
      <c r="D585" s="65"/>
      <c r="E585" s="40"/>
      <c r="F585" s="40"/>
      <c r="G585" s="40"/>
      <c r="H585" s="40"/>
      <c r="I585" s="65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ht="14.25" customHeight="1">
      <c r="A586" s="65"/>
      <c r="B586" s="40"/>
      <c r="C586" s="40"/>
      <c r="D586" s="65"/>
      <c r="E586" s="40"/>
      <c r="F586" s="40"/>
      <c r="G586" s="40"/>
      <c r="H586" s="40"/>
      <c r="I586" s="65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ht="14.25" customHeight="1">
      <c r="A587" s="65"/>
      <c r="B587" s="40"/>
      <c r="C587" s="40"/>
      <c r="D587" s="65"/>
      <c r="E587" s="40"/>
      <c r="F587" s="40"/>
      <c r="G587" s="40"/>
      <c r="H587" s="40"/>
      <c r="I587" s="65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ht="14.25" customHeight="1">
      <c r="A588" s="65"/>
      <c r="B588" s="40"/>
      <c r="C588" s="40"/>
      <c r="D588" s="65"/>
      <c r="E588" s="40"/>
      <c r="F588" s="40"/>
      <c r="G588" s="40"/>
      <c r="H588" s="40"/>
      <c r="I588" s="65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ht="14.25" customHeight="1">
      <c r="A589" s="65"/>
      <c r="B589" s="40"/>
      <c r="C589" s="40"/>
      <c r="D589" s="65"/>
      <c r="E589" s="40"/>
      <c r="F589" s="40"/>
      <c r="G589" s="40"/>
      <c r="H589" s="40"/>
      <c r="I589" s="65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ht="14.25" customHeight="1">
      <c r="A590" s="65"/>
      <c r="B590" s="40"/>
      <c r="C590" s="40"/>
      <c r="D590" s="65"/>
      <c r="E590" s="40"/>
      <c r="F590" s="40"/>
      <c r="G590" s="40"/>
      <c r="H590" s="40"/>
      <c r="I590" s="65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ht="14.25" customHeight="1">
      <c r="A591" s="65"/>
      <c r="B591" s="40"/>
      <c r="C591" s="40"/>
      <c r="D591" s="65"/>
      <c r="E591" s="40"/>
      <c r="F591" s="40"/>
      <c r="G591" s="40"/>
      <c r="H591" s="40"/>
      <c r="I591" s="65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ht="14.25" customHeight="1">
      <c r="A592" s="65"/>
      <c r="B592" s="40"/>
      <c r="C592" s="40"/>
      <c r="D592" s="65"/>
      <c r="E592" s="40"/>
      <c r="F592" s="40"/>
      <c r="G592" s="40"/>
      <c r="H592" s="40"/>
      <c r="I592" s="65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ht="14.25" customHeight="1">
      <c r="A593" s="65"/>
      <c r="B593" s="40"/>
      <c r="C593" s="40"/>
      <c r="D593" s="65"/>
      <c r="E593" s="40"/>
      <c r="F593" s="40"/>
      <c r="G593" s="40"/>
      <c r="H593" s="40"/>
      <c r="I593" s="65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ht="14.25" customHeight="1">
      <c r="A594" s="65"/>
      <c r="B594" s="40"/>
      <c r="C594" s="40"/>
      <c r="D594" s="65"/>
      <c r="E594" s="40"/>
      <c r="F594" s="40"/>
      <c r="G594" s="40"/>
      <c r="H594" s="40"/>
      <c r="I594" s="65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ht="14.25" customHeight="1">
      <c r="A595" s="65"/>
      <c r="B595" s="40"/>
      <c r="C595" s="40"/>
      <c r="D595" s="65"/>
      <c r="E595" s="40"/>
      <c r="F595" s="40"/>
      <c r="G595" s="40"/>
      <c r="H595" s="40"/>
      <c r="I595" s="65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ht="14.25" customHeight="1">
      <c r="A596" s="65"/>
      <c r="B596" s="40"/>
      <c r="C596" s="40"/>
      <c r="D596" s="65"/>
      <c r="E596" s="40"/>
      <c r="F596" s="40"/>
      <c r="G596" s="40"/>
      <c r="H596" s="40"/>
      <c r="I596" s="65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ht="14.25" customHeight="1">
      <c r="A597" s="65"/>
      <c r="B597" s="40"/>
      <c r="C597" s="40"/>
      <c r="D597" s="65"/>
      <c r="E597" s="40"/>
      <c r="F597" s="40"/>
      <c r="G597" s="40"/>
      <c r="H597" s="40"/>
      <c r="I597" s="65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ht="14.25" customHeight="1">
      <c r="A598" s="65"/>
      <c r="B598" s="40"/>
      <c r="C598" s="40"/>
      <c r="D598" s="65"/>
      <c r="E598" s="40"/>
      <c r="F598" s="40"/>
      <c r="G598" s="40"/>
      <c r="H598" s="40"/>
      <c r="I598" s="65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ht="14.25" customHeight="1">
      <c r="A599" s="65"/>
      <c r="B599" s="40"/>
      <c r="C599" s="40"/>
      <c r="D599" s="65"/>
      <c r="E599" s="40"/>
      <c r="F599" s="40"/>
      <c r="G599" s="40"/>
      <c r="H599" s="40"/>
      <c r="I599" s="65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ht="14.25" customHeight="1">
      <c r="A600" s="65"/>
      <c r="B600" s="40"/>
      <c r="C600" s="40"/>
      <c r="D600" s="65"/>
      <c r="E600" s="40"/>
      <c r="F600" s="40"/>
      <c r="G600" s="40"/>
      <c r="H600" s="40"/>
      <c r="I600" s="65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ht="14.25" customHeight="1">
      <c r="A601" s="65"/>
      <c r="B601" s="40"/>
      <c r="C601" s="40"/>
      <c r="D601" s="65"/>
      <c r="E601" s="40"/>
      <c r="F601" s="40"/>
      <c r="G601" s="40"/>
      <c r="H601" s="40"/>
      <c r="I601" s="65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ht="14.25" customHeight="1">
      <c r="A602" s="65"/>
      <c r="B602" s="40"/>
      <c r="C602" s="40"/>
      <c r="D602" s="65"/>
      <c r="E602" s="40"/>
      <c r="F602" s="40"/>
      <c r="G602" s="40"/>
      <c r="H602" s="40"/>
      <c r="I602" s="65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ht="14.25" customHeight="1">
      <c r="A603" s="65"/>
      <c r="B603" s="40"/>
      <c r="C603" s="40"/>
      <c r="D603" s="65"/>
      <c r="E603" s="40"/>
      <c r="F603" s="40"/>
      <c r="G603" s="40"/>
      <c r="H603" s="40"/>
      <c r="I603" s="65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ht="14.25" customHeight="1">
      <c r="A604" s="65"/>
      <c r="B604" s="40"/>
      <c r="C604" s="40"/>
      <c r="D604" s="65"/>
      <c r="E604" s="40"/>
      <c r="F604" s="40"/>
      <c r="G604" s="40"/>
      <c r="H604" s="40"/>
      <c r="I604" s="65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ht="14.25" customHeight="1">
      <c r="A605" s="65"/>
      <c r="B605" s="40"/>
      <c r="C605" s="40"/>
      <c r="D605" s="65"/>
      <c r="E605" s="40"/>
      <c r="F605" s="40"/>
      <c r="G605" s="40"/>
      <c r="H605" s="40"/>
      <c r="I605" s="65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ht="14.25" customHeight="1">
      <c r="A606" s="65"/>
      <c r="B606" s="40"/>
      <c r="C606" s="40"/>
      <c r="D606" s="65"/>
      <c r="E606" s="40"/>
      <c r="F606" s="40"/>
      <c r="G606" s="40"/>
      <c r="H606" s="40"/>
      <c r="I606" s="65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ht="14.25" customHeight="1">
      <c r="A607" s="65"/>
      <c r="B607" s="40"/>
      <c r="C607" s="40"/>
      <c r="D607" s="65"/>
      <c r="E607" s="40"/>
      <c r="F607" s="40"/>
      <c r="G607" s="40"/>
      <c r="H607" s="40"/>
      <c r="I607" s="65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ht="14.25" customHeight="1">
      <c r="A608" s="65"/>
      <c r="B608" s="40"/>
      <c r="C608" s="40"/>
      <c r="D608" s="65"/>
      <c r="E608" s="40"/>
      <c r="F608" s="40"/>
      <c r="G608" s="40"/>
      <c r="H608" s="40"/>
      <c r="I608" s="65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ht="14.25" customHeight="1">
      <c r="A609" s="65"/>
      <c r="B609" s="40"/>
      <c r="C609" s="40"/>
      <c r="D609" s="65"/>
      <c r="E609" s="40"/>
      <c r="F609" s="40"/>
      <c r="G609" s="40"/>
      <c r="H609" s="40"/>
      <c r="I609" s="65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ht="14.25" customHeight="1">
      <c r="A610" s="65"/>
      <c r="B610" s="40"/>
      <c r="C610" s="40"/>
      <c r="D610" s="65"/>
      <c r="E610" s="40"/>
      <c r="F610" s="40"/>
      <c r="G610" s="40"/>
      <c r="H610" s="40"/>
      <c r="I610" s="65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ht="14.25" customHeight="1">
      <c r="A611" s="65"/>
      <c r="B611" s="40"/>
      <c r="C611" s="40"/>
      <c r="D611" s="65"/>
      <c r="E611" s="40"/>
      <c r="F611" s="40"/>
      <c r="G611" s="40"/>
      <c r="H611" s="40"/>
      <c r="I611" s="65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ht="14.25" customHeight="1">
      <c r="A612" s="65"/>
      <c r="B612" s="40"/>
      <c r="C612" s="40"/>
      <c r="D612" s="65"/>
      <c r="E612" s="40"/>
      <c r="F612" s="40"/>
      <c r="G612" s="40"/>
      <c r="H612" s="40"/>
      <c r="I612" s="65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ht="14.25" customHeight="1">
      <c r="A613" s="65"/>
      <c r="B613" s="40"/>
      <c r="C613" s="40"/>
      <c r="D613" s="65"/>
      <c r="E613" s="40"/>
      <c r="F613" s="40"/>
      <c r="G613" s="40"/>
      <c r="H613" s="40"/>
      <c r="I613" s="65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ht="14.25" customHeight="1">
      <c r="A614" s="65"/>
      <c r="B614" s="40"/>
      <c r="C614" s="40"/>
      <c r="D614" s="65"/>
      <c r="E614" s="40"/>
      <c r="F614" s="40"/>
      <c r="G614" s="40"/>
      <c r="H614" s="40"/>
      <c r="I614" s="65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ht="14.25" customHeight="1">
      <c r="A615" s="65"/>
      <c r="B615" s="40"/>
      <c r="C615" s="40"/>
      <c r="D615" s="65"/>
      <c r="E615" s="40"/>
      <c r="F615" s="40"/>
      <c r="G615" s="40"/>
      <c r="H615" s="40"/>
      <c r="I615" s="65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ht="14.25" customHeight="1">
      <c r="A616" s="65"/>
      <c r="B616" s="40"/>
      <c r="C616" s="40"/>
      <c r="D616" s="65"/>
      <c r="E616" s="40"/>
      <c r="F616" s="40"/>
      <c r="G616" s="40"/>
      <c r="H616" s="40"/>
      <c r="I616" s="65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ht="14.25" customHeight="1">
      <c r="A617" s="65"/>
      <c r="B617" s="40"/>
      <c r="C617" s="40"/>
      <c r="D617" s="65"/>
      <c r="E617" s="40"/>
      <c r="F617" s="40"/>
      <c r="G617" s="40"/>
      <c r="H617" s="40"/>
      <c r="I617" s="65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ht="14.25" customHeight="1">
      <c r="A618" s="65"/>
      <c r="B618" s="40"/>
      <c r="C618" s="40"/>
      <c r="D618" s="65"/>
      <c r="E618" s="40"/>
      <c r="F618" s="40"/>
      <c r="G618" s="40"/>
      <c r="H618" s="40"/>
      <c r="I618" s="65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ht="14.25" customHeight="1">
      <c r="A619" s="65"/>
      <c r="B619" s="40"/>
      <c r="C619" s="40"/>
      <c r="D619" s="65"/>
      <c r="E619" s="40"/>
      <c r="F619" s="40"/>
      <c r="G619" s="40"/>
      <c r="H619" s="40"/>
      <c r="I619" s="65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ht="14.25" customHeight="1">
      <c r="A620" s="65"/>
      <c r="B620" s="40"/>
      <c r="C620" s="40"/>
      <c r="D620" s="65"/>
      <c r="E620" s="40"/>
      <c r="F620" s="40"/>
      <c r="G620" s="40"/>
      <c r="H620" s="40"/>
      <c r="I620" s="65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ht="14.25" customHeight="1">
      <c r="A621" s="65"/>
      <c r="B621" s="40"/>
      <c r="C621" s="40"/>
      <c r="D621" s="65"/>
      <c r="E621" s="40"/>
      <c r="F621" s="40"/>
      <c r="G621" s="40"/>
      <c r="H621" s="40"/>
      <c r="I621" s="65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ht="14.25" customHeight="1">
      <c r="A622" s="65"/>
      <c r="B622" s="40"/>
      <c r="C622" s="40"/>
      <c r="D622" s="65"/>
      <c r="E622" s="40"/>
      <c r="F622" s="40"/>
      <c r="G622" s="40"/>
      <c r="H622" s="40"/>
      <c r="I622" s="65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ht="14.25" customHeight="1">
      <c r="A623" s="65"/>
      <c r="B623" s="40"/>
      <c r="C623" s="40"/>
      <c r="D623" s="65"/>
      <c r="E623" s="40"/>
      <c r="F623" s="40"/>
      <c r="G623" s="40"/>
      <c r="H623" s="40"/>
      <c r="I623" s="65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ht="14.25" customHeight="1">
      <c r="A624" s="65"/>
      <c r="B624" s="40"/>
      <c r="C624" s="40"/>
      <c r="D624" s="65"/>
      <c r="E624" s="40"/>
      <c r="F624" s="40"/>
      <c r="G624" s="40"/>
      <c r="H624" s="40"/>
      <c r="I624" s="65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ht="14.25" customHeight="1">
      <c r="A625" s="65"/>
      <c r="B625" s="40"/>
      <c r="C625" s="40"/>
      <c r="D625" s="65"/>
      <c r="E625" s="40"/>
      <c r="F625" s="40"/>
      <c r="G625" s="40"/>
      <c r="H625" s="40"/>
      <c r="I625" s="65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ht="14.25" customHeight="1">
      <c r="A626" s="65"/>
      <c r="B626" s="40"/>
      <c r="C626" s="40"/>
      <c r="D626" s="65"/>
      <c r="E626" s="40"/>
      <c r="F626" s="40"/>
      <c r="G626" s="40"/>
      <c r="H626" s="40"/>
      <c r="I626" s="65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ht="14.25" customHeight="1">
      <c r="A627" s="65"/>
      <c r="B627" s="40"/>
      <c r="C627" s="40"/>
      <c r="D627" s="65"/>
      <c r="E627" s="40"/>
      <c r="F627" s="40"/>
      <c r="G627" s="40"/>
      <c r="H627" s="40"/>
      <c r="I627" s="65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ht="14.25" customHeight="1">
      <c r="A628" s="65"/>
      <c r="B628" s="40"/>
      <c r="C628" s="40"/>
      <c r="D628" s="65"/>
      <c r="E628" s="40"/>
      <c r="F628" s="40"/>
      <c r="G628" s="40"/>
      <c r="H628" s="40"/>
      <c r="I628" s="65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ht="14.25" customHeight="1">
      <c r="A629" s="65"/>
      <c r="B629" s="40"/>
      <c r="C629" s="40"/>
      <c r="D629" s="65"/>
      <c r="E629" s="40"/>
      <c r="F629" s="40"/>
      <c r="G629" s="40"/>
      <c r="H629" s="40"/>
      <c r="I629" s="65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ht="14.25" customHeight="1">
      <c r="A630" s="65"/>
      <c r="B630" s="40"/>
      <c r="C630" s="40"/>
      <c r="D630" s="65"/>
      <c r="E630" s="40"/>
      <c r="F630" s="40"/>
      <c r="G630" s="40"/>
      <c r="H630" s="40"/>
      <c r="I630" s="65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ht="14.25" customHeight="1">
      <c r="A631" s="65"/>
      <c r="B631" s="40"/>
      <c r="C631" s="40"/>
      <c r="D631" s="65"/>
      <c r="E631" s="40"/>
      <c r="F631" s="40"/>
      <c r="G631" s="40"/>
      <c r="H631" s="40"/>
      <c r="I631" s="65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ht="14.25" customHeight="1">
      <c r="A632" s="65"/>
      <c r="B632" s="40"/>
      <c r="C632" s="40"/>
      <c r="D632" s="65"/>
      <c r="E632" s="40"/>
      <c r="F632" s="40"/>
      <c r="G632" s="40"/>
      <c r="H632" s="40"/>
      <c r="I632" s="65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ht="14.25" customHeight="1">
      <c r="A633" s="65"/>
      <c r="B633" s="40"/>
      <c r="C633" s="40"/>
      <c r="D633" s="65"/>
      <c r="E633" s="40"/>
      <c r="F633" s="40"/>
      <c r="G633" s="40"/>
      <c r="H633" s="40"/>
      <c r="I633" s="65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ht="14.25" customHeight="1">
      <c r="A634" s="65"/>
      <c r="B634" s="40"/>
      <c r="C634" s="40"/>
      <c r="D634" s="65"/>
      <c r="E634" s="40"/>
      <c r="F634" s="40"/>
      <c r="G634" s="40"/>
      <c r="H634" s="40"/>
      <c r="I634" s="65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ht="14.25" customHeight="1">
      <c r="A635" s="65"/>
      <c r="B635" s="40"/>
      <c r="C635" s="40"/>
      <c r="D635" s="65"/>
      <c r="E635" s="40"/>
      <c r="F635" s="40"/>
      <c r="G635" s="40"/>
      <c r="H635" s="40"/>
      <c r="I635" s="65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ht="14.25" customHeight="1">
      <c r="A636" s="65"/>
      <c r="B636" s="40"/>
      <c r="C636" s="40"/>
      <c r="D636" s="65"/>
      <c r="E636" s="40"/>
      <c r="F636" s="40"/>
      <c r="G636" s="40"/>
      <c r="H636" s="40"/>
      <c r="I636" s="65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ht="14.25" customHeight="1">
      <c r="A637" s="65"/>
      <c r="B637" s="40"/>
      <c r="C637" s="40"/>
      <c r="D637" s="65"/>
      <c r="E637" s="40"/>
      <c r="F637" s="40"/>
      <c r="G637" s="40"/>
      <c r="H637" s="40"/>
      <c r="I637" s="65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ht="14.25" customHeight="1">
      <c r="A638" s="65"/>
      <c r="B638" s="40"/>
      <c r="C638" s="40"/>
      <c r="D638" s="65"/>
      <c r="E638" s="40"/>
      <c r="F638" s="40"/>
      <c r="G638" s="40"/>
      <c r="H638" s="40"/>
      <c r="I638" s="65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ht="14.25" customHeight="1">
      <c r="A639" s="65"/>
      <c r="B639" s="40"/>
      <c r="C639" s="40"/>
      <c r="D639" s="65"/>
      <c r="E639" s="40"/>
      <c r="F639" s="40"/>
      <c r="G639" s="40"/>
      <c r="H639" s="40"/>
      <c r="I639" s="65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ht="14.25" customHeight="1">
      <c r="A640" s="65"/>
      <c r="B640" s="40"/>
      <c r="C640" s="40"/>
      <c r="D640" s="65"/>
      <c r="E640" s="40"/>
      <c r="F640" s="40"/>
      <c r="G640" s="40"/>
      <c r="H640" s="40"/>
      <c r="I640" s="65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ht="14.25" customHeight="1">
      <c r="A641" s="65"/>
      <c r="B641" s="40"/>
      <c r="C641" s="40"/>
      <c r="D641" s="65"/>
      <c r="E641" s="40"/>
      <c r="F641" s="40"/>
      <c r="G641" s="40"/>
      <c r="H641" s="40"/>
      <c r="I641" s="65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ht="14.25" customHeight="1">
      <c r="A642" s="65"/>
      <c r="B642" s="40"/>
      <c r="C642" s="40"/>
      <c r="D642" s="65"/>
      <c r="E642" s="40"/>
      <c r="F642" s="40"/>
      <c r="G642" s="40"/>
      <c r="H642" s="40"/>
      <c r="I642" s="65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ht="14.25" customHeight="1">
      <c r="A643" s="65"/>
      <c r="B643" s="40"/>
      <c r="C643" s="40"/>
      <c r="D643" s="65"/>
      <c r="E643" s="40"/>
      <c r="F643" s="40"/>
      <c r="G643" s="40"/>
      <c r="H643" s="40"/>
      <c r="I643" s="65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ht="14.25" customHeight="1">
      <c r="A644" s="65"/>
      <c r="B644" s="40"/>
      <c r="C644" s="40"/>
      <c r="D644" s="65"/>
      <c r="E644" s="40"/>
      <c r="F644" s="40"/>
      <c r="G644" s="40"/>
      <c r="H644" s="40"/>
      <c r="I644" s="65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ht="14.25" customHeight="1">
      <c r="A645" s="65"/>
      <c r="B645" s="40"/>
      <c r="C645" s="40"/>
      <c r="D645" s="65"/>
      <c r="E645" s="40"/>
      <c r="F645" s="40"/>
      <c r="G645" s="40"/>
      <c r="H645" s="40"/>
      <c r="I645" s="65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ht="14.25" customHeight="1">
      <c r="A646" s="65"/>
      <c r="B646" s="40"/>
      <c r="C646" s="40"/>
      <c r="D646" s="65"/>
      <c r="E646" s="40"/>
      <c r="F646" s="40"/>
      <c r="G646" s="40"/>
      <c r="H646" s="40"/>
      <c r="I646" s="65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ht="14.25" customHeight="1">
      <c r="A647" s="65"/>
      <c r="B647" s="40"/>
      <c r="C647" s="40"/>
      <c r="D647" s="65"/>
      <c r="E647" s="40"/>
      <c r="F647" s="40"/>
      <c r="G647" s="40"/>
      <c r="H647" s="40"/>
      <c r="I647" s="65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ht="14.25" customHeight="1">
      <c r="A648" s="65"/>
      <c r="B648" s="40"/>
      <c r="C648" s="40"/>
      <c r="D648" s="65"/>
      <c r="E648" s="40"/>
      <c r="F648" s="40"/>
      <c r="G648" s="40"/>
      <c r="H648" s="40"/>
      <c r="I648" s="65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ht="14.25" customHeight="1">
      <c r="A649" s="65"/>
      <c r="B649" s="40"/>
      <c r="C649" s="40"/>
      <c r="D649" s="65"/>
      <c r="E649" s="40"/>
      <c r="F649" s="40"/>
      <c r="G649" s="40"/>
      <c r="H649" s="40"/>
      <c r="I649" s="65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ht="14.25" customHeight="1">
      <c r="A650" s="65"/>
      <c r="B650" s="40"/>
      <c r="C650" s="40"/>
      <c r="D650" s="65"/>
      <c r="E650" s="40"/>
      <c r="F650" s="40"/>
      <c r="G650" s="40"/>
      <c r="H650" s="40"/>
      <c r="I650" s="65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ht="14.25" customHeight="1">
      <c r="A651" s="65"/>
      <c r="B651" s="40"/>
      <c r="C651" s="40"/>
      <c r="D651" s="65"/>
      <c r="E651" s="40"/>
      <c r="F651" s="40"/>
      <c r="G651" s="40"/>
      <c r="H651" s="40"/>
      <c r="I651" s="65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ht="14.25" customHeight="1">
      <c r="A652" s="65"/>
      <c r="B652" s="40"/>
      <c r="C652" s="40"/>
      <c r="D652" s="65"/>
      <c r="E652" s="40"/>
      <c r="F652" s="40"/>
      <c r="G652" s="40"/>
      <c r="H652" s="40"/>
      <c r="I652" s="65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ht="14.25" customHeight="1">
      <c r="A653" s="65"/>
      <c r="B653" s="40"/>
      <c r="C653" s="40"/>
      <c r="D653" s="65"/>
      <c r="E653" s="40"/>
      <c r="F653" s="40"/>
      <c r="G653" s="40"/>
      <c r="H653" s="40"/>
      <c r="I653" s="65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ht="14.25" customHeight="1">
      <c r="A654" s="65"/>
      <c r="B654" s="40"/>
      <c r="C654" s="40"/>
      <c r="D654" s="65"/>
      <c r="E654" s="40"/>
      <c r="F654" s="40"/>
      <c r="G654" s="40"/>
      <c r="H654" s="40"/>
      <c r="I654" s="65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ht="14.25" customHeight="1">
      <c r="A655" s="65"/>
      <c r="B655" s="40"/>
      <c r="C655" s="40"/>
      <c r="D655" s="65"/>
      <c r="E655" s="40"/>
      <c r="F655" s="40"/>
      <c r="G655" s="40"/>
      <c r="H655" s="40"/>
      <c r="I655" s="65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ht="14.25" customHeight="1">
      <c r="A656" s="65"/>
      <c r="B656" s="40"/>
      <c r="C656" s="40"/>
      <c r="D656" s="65"/>
      <c r="E656" s="40"/>
      <c r="F656" s="40"/>
      <c r="G656" s="40"/>
      <c r="H656" s="40"/>
      <c r="I656" s="65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ht="14.25" customHeight="1">
      <c r="A657" s="65"/>
      <c r="B657" s="40"/>
      <c r="C657" s="40"/>
      <c r="D657" s="65"/>
      <c r="E657" s="40"/>
      <c r="F657" s="40"/>
      <c r="G657" s="40"/>
      <c r="H657" s="40"/>
      <c r="I657" s="65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ht="14.25" customHeight="1">
      <c r="A658" s="65"/>
      <c r="B658" s="40"/>
      <c r="C658" s="40"/>
      <c r="D658" s="65"/>
      <c r="E658" s="40"/>
      <c r="F658" s="40"/>
      <c r="G658" s="40"/>
      <c r="H658" s="40"/>
      <c r="I658" s="65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ht="14.25" customHeight="1">
      <c r="A659" s="65"/>
      <c r="B659" s="40"/>
      <c r="C659" s="40"/>
      <c r="D659" s="65"/>
      <c r="E659" s="40"/>
      <c r="F659" s="40"/>
      <c r="G659" s="40"/>
      <c r="H659" s="40"/>
      <c r="I659" s="65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ht="14.25" customHeight="1">
      <c r="A660" s="65"/>
      <c r="B660" s="40"/>
      <c r="C660" s="40"/>
      <c r="D660" s="65"/>
      <c r="E660" s="40"/>
      <c r="F660" s="40"/>
      <c r="G660" s="40"/>
      <c r="H660" s="40"/>
      <c r="I660" s="65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ht="14.25" customHeight="1">
      <c r="A661" s="65"/>
      <c r="B661" s="40"/>
      <c r="C661" s="40"/>
      <c r="D661" s="65"/>
      <c r="E661" s="40"/>
      <c r="F661" s="40"/>
      <c r="G661" s="40"/>
      <c r="H661" s="40"/>
      <c r="I661" s="65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ht="14.25" customHeight="1">
      <c r="A662" s="65"/>
      <c r="B662" s="40"/>
      <c r="C662" s="40"/>
      <c r="D662" s="65"/>
      <c r="E662" s="40"/>
      <c r="F662" s="40"/>
      <c r="G662" s="40"/>
      <c r="H662" s="40"/>
      <c r="I662" s="65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ht="14.25" customHeight="1">
      <c r="A663" s="65"/>
      <c r="B663" s="40"/>
      <c r="C663" s="40"/>
      <c r="D663" s="65"/>
      <c r="E663" s="40"/>
      <c r="F663" s="40"/>
      <c r="G663" s="40"/>
      <c r="H663" s="40"/>
      <c r="I663" s="65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ht="14.25" customHeight="1">
      <c r="A664" s="65"/>
      <c r="B664" s="40"/>
      <c r="C664" s="40"/>
      <c r="D664" s="65"/>
      <c r="E664" s="40"/>
      <c r="F664" s="40"/>
      <c r="G664" s="40"/>
      <c r="H664" s="40"/>
      <c r="I664" s="65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ht="14.25" customHeight="1">
      <c r="A665" s="65"/>
      <c r="B665" s="40"/>
      <c r="C665" s="40"/>
      <c r="D665" s="65"/>
      <c r="E665" s="40"/>
      <c r="F665" s="40"/>
      <c r="G665" s="40"/>
      <c r="H665" s="40"/>
      <c r="I665" s="65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ht="14.25" customHeight="1">
      <c r="A666" s="65"/>
      <c r="B666" s="40"/>
      <c r="C666" s="40"/>
      <c r="D666" s="65"/>
      <c r="E666" s="40"/>
      <c r="F666" s="40"/>
      <c r="G666" s="40"/>
      <c r="H666" s="40"/>
      <c r="I666" s="65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ht="14.25" customHeight="1">
      <c r="A667" s="65"/>
      <c r="B667" s="40"/>
      <c r="C667" s="40"/>
      <c r="D667" s="65"/>
      <c r="E667" s="40"/>
      <c r="F667" s="40"/>
      <c r="G667" s="40"/>
      <c r="H667" s="40"/>
      <c r="I667" s="65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ht="14.25" customHeight="1">
      <c r="A668" s="65"/>
      <c r="B668" s="40"/>
      <c r="C668" s="40"/>
      <c r="D668" s="65"/>
      <c r="E668" s="40"/>
      <c r="F668" s="40"/>
      <c r="G668" s="40"/>
      <c r="H668" s="40"/>
      <c r="I668" s="65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ht="14.25" customHeight="1">
      <c r="A669" s="65"/>
      <c r="B669" s="40"/>
      <c r="C669" s="40"/>
      <c r="D669" s="65"/>
      <c r="E669" s="40"/>
      <c r="F669" s="40"/>
      <c r="G669" s="40"/>
      <c r="H669" s="40"/>
      <c r="I669" s="65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ht="14.25" customHeight="1">
      <c r="A670" s="65"/>
      <c r="B670" s="40"/>
      <c r="C670" s="40"/>
      <c r="D670" s="65"/>
      <c r="E670" s="40"/>
      <c r="F670" s="40"/>
      <c r="G670" s="40"/>
      <c r="H670" s="40"/>
      <c r="I670" s="65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ht="14.25" customHeight="1">
      <c r="A671" s="65"/>
      <c r="B671" s="40"/>
      <c r="C671" s="40"/>
      <c r="D671" s="65"/>
      <c r="E671" s="40"/>
      <c r="F671" s="40"/>
      <c r="G671" s="40"/>
      <c r="H671" s="40"/>
      <c r="I671" s="65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ht="14.25" customHeight="1">
      <c r="A672" s="65"/>
      <c r="B672" s="40"/>
      <c r="C672" s="40"/>
      <c r="D672" s="65"/>
      <c r="E672" s="40"/>
      <c r="F672" s="40"/>
      <c r="G672" s="40"/>
      <c r="H672" s="40"/>
      <c r="I672" s="65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ht="14.25" customHeight="1">
      <c r="A673" s="65"/>
      <c r="B673" s="40"/>
      <c r="C673" s="40"/>
      <c r="D673" s="65"/>
      <c r="E673" s="40"/>
      <c r="F673" s="40"/>
      <c r="G673" s="40"/>
      <c r="H673" s="40"/>
      <c r="I673" s="65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ht="14.25" customHeight="1">
      <c r="A674" s="65"/>
      <c r="B674" s="40"/>
      <c r="C674" s="40"/>
      <c r="D674" s="65"/>
      <c r="E674" s="40"/>
      <c r="F674" s="40"/>
      <c r="G674" s="40"/>
      <c r="H674" s="40"/>
      <c r="I674" s="65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ht="14.25" customHeight="1">
      <c r="A675" s="65"/>
      <c r="B675" s="40"/>
      <c r="C675" s="40"/>
      <c r="D675" s="65"/>
      <c r="E675" s="40"/>
      <c r="F675" s="40"/>
      <c r="G675" s="40"/>
      <c r="H675" s="40"/>
      <c r="I675" s="65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ht="14.25" customHeight="1">
      <c r="A676" s="65"/>
      <c r="B676" s="40"/>
      <c r="C676" s="40"/>
      <c r="D676" s="65"/>
      <c r="E676" s="40"/>
      <c r="F676" s="40"/>
      <c r="G676" s="40"/>
      <c r="H676" s="40"/>
      <c r="I676" s="65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ht="14.25" customHeight="1">
      <c r="A677" s="65"/>
      <c r="B677" s="40"/>
      <c r="C677" s="40"/>
      <c r="D677" s="65"/>
      <c r="E677" s="40"/>
      <c r="F677" s="40"/>
      <c r="G677" s="40"/>
      <c r="H677" s="40"/>
      <c r="I677" s="65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ht="14.25" customHeight="1">
      <c r="A678" s="65"/>
      <c r="B678" s="40"/>
      <c r="C678" s="40"/>
      <c r="D678" s="65"/>
      <c r="E678" s="40"/>
      <c r="F678" s="40"/>
      <c r="G678" s="40"/>
      <c r="H678" s="40"/>
      <c r="I678" s="65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ht="14.25" customHeight="1">
      <c r="A679" s="65"/>
      <c r="B679" s="40"/>
      <c r="C679" s="40"/>
      <c r="D679" s="65"/>
      <c r="E679" s="40"/>
      <c r="F679" s="40"/>
      <c r="G679" s="40"/>
      <c r="H679" s="40"/>
      <c r="I679" s="65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ht="14.25" customHeight="1">
      <c r="A680" s="65"/>
      <c r="B680" s="40"/>
      <c r="C680" s="40"/>
      <c r="D680" s="65"/>
      <c r="E680" s="40"/>
      <c r="F680" s="40"/>
      <c r="G680" s="40"/>
      <c r="H680" s="40"/>
      <c r="I680" s="65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ht="14.25" customHeight="1">
      <c r="A681" s="65"/>
      <c r="B681" s="40"/>
      <c r="C681" s="40"/>
      <c r="D681" s="65"/>
      <c r="E681" s="40"/>
      <c r="F681" s="40"/>
      <c r="G681" s="40"/>
      <c r="H681" s="40"/>
      <c r="I681" s="65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ht="14.25" customHeight="1">
      <c r="A682" s="65"/>
      <c r="B682" s="40"/>
      <c r="C682" s="40"/>
      <c r="D682" s="65"/>
      <c r="E682" s="40"/>
      <c r="F682" s="40"/>
      <c r="G682" s="40"/>
      <c r="H682" s="40"/>
      <c r="I682" s="65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ht="14.25" customHeight="1">
      <c r="A683" s="65"/>
      <c r="B683" s="40"/>
      <c r="C683" s="40"/>
      <c r="D683" s="65"/>
      <c r="E683" s="40"/>
      <c r="F683" s="40"/>
      <c r="G683" s="40"/>
      <c r="H683" s="40"/>
      <c r="I683" s="65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ht="14.25" customHeight="1">
      <c r="A684" s="65"/>
      <c r="B684" s="40"/>
      <c r="C684" s="40"/>
      <c r="D684" s="65"/>
      <c r="E684" s="40"/>
      <c r="F684" s="40"/>
      <c r="G684" s="40"/>
      <c r="H684" s="40"/>
      <c r="I684" s="65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ht="14.25" customHeight="1">
      <c r="A685" s="65"/>
      <c r="B685" s="40"/>
      <c r="C685" s="40"/>
      <c r="D685" s="65"/>
      <c r="E685" s="40"/>
      <c r="F685" s="40"/>
      <c r="G685" s="40"/>
      <c r="H685" s="40"/>
      <c r="I685" s="65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ht="14.25" customHeight="1">
      <c r="A686" s="65"/>
      <c r="B686" s="40"/>
      <c r="C686" s="40"/>
      <c r="D686" s="65"/>
      <c r="E686" s="40"/>
      <c r="F686" s="40"/>
      <c r="G686" s="40"/>
      <c r="H686" s="40"/>
      <c r="I686" s="65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ht="14.25" customHeight="1">
      <c r="A687" s="65"/>
      <c r="B687" s="40"/>
      <c r="C687" s="40"/>
      <c r="D687" s="65"/>
      <c r="E687" s="40"/>
      <c r="F687" s="40"/>
      <c r="G687" s="40"/>
      <c r="H687" s="40"/>
      <c r="I687" s="65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ht="14.25" customHeight="1">
      <c r="A688" s="65"/>
      <c r="B688" s="40"/>
      <c r="C688" s="40"/>
      <c r="D688" s="65"/>
      <c r="E688" s="40"/>
      <c r="F688" s="40"/>
      <c r="G688" s="40"/>
      <c r="H688" s="40"/>
      <c r="I688" s="65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  <row r="689" spans="1:54" ht="14.25" customHeight="1">
      <c r="A689" s="65"/>
      <c r="B689" s="40"/>
      <c r="C689" s="40"/>
      <c r="D689" s="65"/>
      <c r="E689" s="40"/>
      <c r="F689" s="40"/>
      <c r="G689" s="40"/>
      <c r="H689" s="40"/>
      <c r="I689" s="65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</row>
    <row r="690" spans="1:54" ht="14.25" customHeight="1">
      <c r="A690" s="65"/>
      <c r="B690" s="40"/>
      <c r="C690" s="40"/>
      <c r="D690" s="65"/>
      <c r="E690" s="40"/>
      <c r="F690" s="40"/>
      <c r="G690" s="40"/>
      <c r="H690" s="40"/>
      <c r="I690" s="65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</row>
    <row r="691" spans="1:54" ht="14.25" customHeight="1">
      <c r="A691" s="65"/>
      <c r="B691" s="40"/>
      <c r="C691" s="40"/>
      <c r="D691" s="65"/>
      <c r="E691" s="40"/>
      <c r="F691" s="40"/>
      <c r="G691" s="40"/>
      <c r="H691" s="40"/>
      <c r="I691" s="65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</row>
    <row r="692" spans="1:54" ht="14.25" customHeight="1">
      <c r="A692" s="65"/>
      <c r="B692" s="40"/>
      <c r="C692" s="40"/>
      <c r="D692" s="65"/>
      <c r="E692" s="40"/>
      <c r="F692" s="40"/>
      <c r="G692" s="40"/>
      <c r="H692" s="40"/>
      <c r="I692" s="65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</row>
    <row r="693" spans="1:54" ht="14.25" customHeight="1">
      <c r="A693" s="65"/>
      <c r="B693" s="40"/>
      <c r="C693" s="40"/>
      <c r="D693" s="65"/>
      <c r="E693" s="40"/>
      <c r="F693" s="40"/>
      <c r="G693" s="40"/>
      <c r="H693" s="40"/>
      <c r="I693" s="65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</row>
    <row r="694" spans="1:54" ht="14.25" customHeight="1">
      <c r="A694" s="65"/>
      <c r="B694" s="40"/>
      <c r="C694" s="40"/>
      <c r="D694" s="65"/>
      <c r="E694" s="40"/>
      <c r="F694" s="40"/>
      <c r="G694" s="40"/>
      <c r="H694" s="40"/>
      <c r="I694" s="65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</row>
    <row r="695" spans="1:54" ht="14.25" customHeight="1">
      <c r="A695" s="65"/>
      <c r="B695" s="40"/>
      <c r="C695" s="40"/>
      <c r="D695" s="65"/>
      <c r="E695" s="40"/>
      <c r="F695" s="40"/>
      <c r="G695" s="40"/>
      <c r="H695" s="40"/>
      <c r="I695" s="65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</row>
    <row r="696" spans="1:54" ht="14.25" customHeight="1">
      <c r="A696" s="65"/>
      <c r="B696" s="40"/>
      <c r="C696" s="40"/>
      <c r="D696" s="65"/>
      <c r="E696" s="40"/>
      <c r="F696" s="40"/>
      <c r="G696" s="40"/>
      <c r="H696" s="40"/>
      <c r="I696" s="65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</row>
    <row r="697" spans="1:54" ht="14.25" customHeight="1">
      <c r="A697" s="65"/>
      <c r="B697" s="40"/>
      <c r="C697" s="40"/>
      <c r="D697" s="65"/>
      <c r="E697" s="40"/>
      <c r="F697" s="40"/>
      <c r="G697" s="40"/>
      <c r="H697" s="40"/>
      <c r="I697" s="65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</row>
    <row r="698" spans="1:54" ht="14.25" customHeight="1">
      <c r="A698" s="65"/>
      <c r="B698" s="40"/>
      <c r="C698" s="40"/>
      <c r="D698" s="65"/>
      <c r="E698" s="40"/>
      <c r="F698" s="40"/>
      <c r="G698" s="40"/>
      <c r="H698" s="40"/>
      <c r="I698" s="65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</row>
    <row r="699" spans="1:54" ht="14.25" customHeight="1">
      <c r="A699" s="65"/>
      <c r="B699" s="40"/>
      <c r="C699" s="40"/>
      <c r="D699" s="65"/>
      <c r="E699" s="40"/>
      <c r="F699" s="40"/>
      <c r="G699" s="40"/>
      <c r="H699" s="40"/>
      <c r="I699" s="65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</row>
    <row r="700" spans="1:54" ht="14.25" customHeight="1">
      <c r="A700" s="65"/>
      <c r="B700" s="40"/>
      <c r="C700" s="40"/>
      <c r="D700" s="65"/>
      <c r="E700" s="40"/>
      <c r="F700" s="40"/>
      <c r="G700" s="40"/>
      <c r="H700" s="40"/>
      <c r="I700" s="65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</row>
    <row r="701" spans="1:54" ht="14.25" customHeight="1">
      <c r="A701" s="65"/>
      <c r="B701" s="40"/>
      <c r="C701" s="40"/>
      <c r="D701" s="65"/>
      <c r="E701" s="40"/>
      <c r="F701" s="40"/>
      <c r="G701" s="40"/>
      <c r="H701" s="40"/>
      <c r="I701" s="65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</row>
    <row r="702" spans="1:54" ht="14.25" customHeight="1">
      <c r="A702" s="65"/>
      <c r="B702" s="40"/>
      <c r="C702" s="40"/>
      <c r="D702" s="65"/>
      <c r="E702" s="40"/>
      <c r="F702" s="40"/>
      <c r="G702" s="40"/>
      <c r="H702" s="40"/>
      <c r="I702" s="65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</row>
    <row r="703" spans="1:54" ht="14.25" customHeight="1">
      <c r="A703" s="65"/>
      <c r="B703" s="40"/>
      <c r="C703" s="40"/>
      <c r="D703" s="65"/>
      <c r="E703" s="40"/>
      <c r="F703" s="40"/>
      <c r="G703" s="40"/>
      <c r="H703" s="40"/>
      <c r="I703" s="65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</row>
    <row r="704" spans="1:54" ht="14.25" customHeight="1">
      <c r="A704" s="65"/>
      <c r="B704" s="40"/>
      <c r="C704" s="40"/>
      <c r="D704" s="65"/>
      <c r="E704" s="40"/>
      <c r="F704" s="40"/>
      <c r="G704" s="40"/>
      <c r="H704" s="40"/>
      <c r="I704" s="65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</row>
    <row r="705" spans="1:54" ht="14.25" customHeight="1">
      <c r="A705" s="65"/>
      <c r="B705" s="40"/>
      <c r="C705" s="40"/>
      <c r="D705" s="65"/>
      <c r="E705" s="40"/>
      <c r="F705" s="40"/>
      <c r="G705" s="40"/>
      <c r="H705" s="40"/>
      <c r="I705" s="65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</row>
    <row r="706" spans="1:54" ht="14.25" customHeight="1">
      <c r="A706" s="65"/>
      <c r="B706" s="40"/>
      <c r="C706" s="40"/>
      <c r="D706" s="65"/>
      <c r="E706" s="40"/>
      <c r="F706" s="40"/>
      <c r="G706" s="40"/>
      <c r="H706" s="40"/>
      <c r="I706" s="65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</row>
    <row r="707" spans="1:54" ht="14.25" customHeight="1">
      <c r="A707" s="65"/>
      <c r="B707" s="40"/>
      <c r="C707" s="40"/>
      <c r="D707" s="65"/>
      <c r="E707" s="40"/>
      <c r="F707" s="40"/>
      <c r="G707" s="40"/>
      <c r="H707" s="40"/>
      <c r="I707" s="65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</row>
    <row r="708" spans="1:54" ht="14.25" customHeight="1">
      <c r="A708" s="65"/>
      <c r="B708" s="40"/>
      <c r="C708" s="40"/>
      <c r="D708" s="65"/>
      <c r="E708" s="40"/>
      <c r="F708" s="40"/>
      <c r="G708" s="40"/>
      <c r="H708" s="40"/>
      <c r="I708" s="65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</row>
    <row r="709" spans="1:54" ht="14.25" customHeight="1">
      <c r="A709" s="65"/>
      <c r="B709" s="40"/>
      <c r="C709" s="40"/>
      <c r="D709" s="65"/>
      <c r="E709" s="40"/>
      <c r="F709" s="40"/>
      <c r="G709" s="40"/>
      <c r="H709" s="40"/>
      <c r="I709" s="65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</row>
    <row r="710" spans="1:54" ht="14.25" customHeight="1">
      <c r="A710" s="65"/>
      <c r="B710" s="40"/>
      <c r="C710" s="40"/>
      <c r="D710" s="65"/>
      <c r="E710" s="40"/>
      <c r="F710" s="40"/>
      <c r="G710" s="40"/>
      <c r="H710" s="40"/>
      <c r="I710" s="65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</row>
    <row r="711" spans="1:54" ht="14.25" customHeight="1">
      <c r="A711" s="65"/>
      <c r="B711" s="40"/>
      <c r="C711" s="40"/>
      <c r="D711" s="65"/>
      <c r="E711" s="40"/>
      <c r="F711" s="40"/>
      <c r="G711" s="40"/>
      <c r="H711" s="40"/>
      <c r="I711" s="65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</row>
    <row r="712" spans="1:54" ht="14.25" customHeight="1">
      <c r="A712" s="65"/>
      <c r="B712" s="40"/>
      <c r="C712" s="40"/>
      <c r="D712" s="65"/>
      <c r="E712" s="40"/>
      <c r="F712" s="40"/>
      <c r="G712" s="40"/>
      <c r="H712" s="40"/>
      <c r="I712" s="65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</row>
    <row r="713" spans="1:54" ht="14.25" customHeight="1">
      <c r="A713" s="65"/>
      <c r="B713" s="40"/>
      <c r="C713" s="40"/>
      <c r="D713" s="65"/>
      <c r="E713" s="40"/>
      <c r="F713" s="40"/>
      <c r="G713" s="40"/>
      <c r="H713" s="40"/>
      <c r="I713" s="65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</row>
    <row r="714" spans="1:54" ht="14.25" customHeight="1">
      <c r="A714" s="65"/>
      <c r="B714" s="40"/>
      <c r="C714" s="40"/>
      <c r="D714" s="65"/>
      <c r="E714" s="40"/>
      <c r="F714" s="40"/>
      <c r="G714" s="40"/>
      <c r="H714" s="40"/>
      <c r="I714" s="65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</row>
    <row r="715" spans="1:54" ht="14.25" customHeight="1">
      <c r="A715" s="65"/>
      <c r="B715" s="40"/>
      <c r="C715" s="40"/>
      <c r="D715" s="65"/>
      <c r="E715" s="40"/>
      <c r="F715" s="40"/>
      <c r="G715" s="40"/>
      <c r="H715" s="40"/>
      <c r="I715" s="65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</row>
    <row r="716" spans="1:54" ht="14.25" customHeight="1">
      <c r="A716" s="65"/>
      <c r="B716" s="40"/>
      <c r="C716" s="40"/>
      <c r="D716" s="65"/>
      <c r="E716" s="40"/>
      <c r="F716" s="40"/>
      <c r="G716" s="40"/>
      <c r="H716" s="40"/>
      <c r="I716" s="65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</row>
    <row r="717" spans="1:54" ht="14.25" customHeight="1">
      <c r="A717" s="65"/>
      <c r="B717" s="40"/>
      <c r="C717" s="40"/>
      <c r="D717" s="65"/>
      <c r="E717" s="40"/>
      <c r="F717" s="40"/>
      <c r="G717" s="40"/>
      <c r="H717" s="40"/>
      <c r="I717" s="65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</row>
    <row r="718" spans="1:54" ht="14.25" customHeight="1">
      <c r="A718" s="65"/>
      <c r="B718" s="40"/>
      <c r="C718" s="40"/>
      <c r="D718" s="65"/>
      <c r="E718" s="40"/>
      <c r="F718" s="40"/>
      <c r="G718" s="40"/>
      <c r="H718" s="40"/>
      <c r="I718" s="65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</row>
    <row r="719" spans="1:54" ht="14.25" customHeight="1">
      <c r="A719" s="65"/>
      <c r="B719" s="40"/>
      <c r="C719" s="40"/>
      <c r="D719" s="65"/>
      <c r="E719" s="40"/>
      <c r="F719" s="40"/>
      <c r="G719" s="40"/>
      <c r="H719" s="40"/>
      <c r="I719" s="65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</row>
    <row r="720" spans="1:54" ht="14.25" customHeight="1">
      <c r="A720" s="65"/>
      <c r="B720" s="40"/>
      <c r="C720" s="40"/>
      <c r="D720" s="65"/>
      <c r="E720" s="40"/>
      <c r="F720" s="40"/>
      <c r="G720" s="40"/>
      <c r="H720" s="40"/>
      <c r="I720" s="65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</row>
    <row r="721" spans="1:54" ht="14.25" customHeight="1">
      <c r="A721" s="65"/>
      <c r="B721" s="40"/>
      <c r="C721" s="40"/>
      <c r="D721" s="65"/>
      <c r="E721" s="40"/>
      <c r="F721" s="40"/>
      <c r="G721" s="40"/>
      <c r="H721" s="40"/>
      <c r="I721" s="65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</row>
    <row r="722" spans="1:54" ht="14.25" customHeight="1">
      <c r="A722" s="65"/>
      <c r="B722" s="40"/>
      <c r="C722" s="40"/>
      <c r="D722" s="65"/>
      <c r="E722" s="40"/>
      <c r="F722" s="40"/>
      <c r="G722" s="40"/>
      <c r="H722" s="40"/>
      <c r="I722" s="65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</row>
    <row r="723" spans="1:54" ht="14.25" customHeight="1">
      <c r="A723" s="65"/>
      <c r="B723" s="40"/>
      <c r="C723" s="40"/>
      <c r="D723" s="65"/>
      <c r="E723" s="40"/>
      <c r="F723" s="40"/>
      <c r="G723" s="40"/>
      <c r="H723" s="40"/>
      <c r="I723" s="65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</row>
    <row r="724" spans="1:54" ht="14.25" customHeight="1">
      <c r="A724" s="65"/>
      <c r="B724" s="40"/>
      <c r="C724" s="40"/>
      <c r="D724" s="65"/>
      <c r="E724" s="40"/>
      <c r="F724" s="40"/>
      <c r="G724" s="40"/>
      <c r="H724" s="40"/>
      <c r="I724" s="65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</row>
    <row r="725" spans="1:54" ht="14.25" customHeight="1">
      <c r="A725" s="65"/>
      <c r="B725" s="40"/>
      <c r="C725" s="40"/>
      <c r="D725" s="65"/>
      <c r="E725" s="40"/>
      <c r="F725" s="40"/>
      <c r="G725" s="40"/>
      <c r="H725" s="40"/>
      <c r="I725" s="65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</row>
    <row r="726" spans="1:54" ht="14.25" customHeight="1">
      <c r="A726" s="65"/>
      <c r="B726" s="40"/>
      <c r="C726" s="40"/>
      <c r="D726" s="65"/>
      <c r="E726" s="40"/>
      <c r="F726" s="40"/>
      <c r="G726" s="40"/>
      <c r="H726" s="40"/>
      <c r="I726" s="65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</row>
    <row r="727" spans="1:54" ht="14.25" customHeight="1">
      <c r="A727" s="65"/>
      <c r="B727" s="40"/>
      <c r="C727" s="40"/>
      <c r="D727" s="65"/>
      <c r="E727" s="40"/>
      <c r="F727" s="40"/>
      <c r="G727" s="40"/>
      <c r="H727" s="40"/>
      <c r="I727" s="65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</row>
    <row r="728" spans="1:54" ht="14.25" customHeight="1">
      <c r="A728" s="65"/>
      <c r="B728" s="40"/>
      <c r="C728" s="40"/>
      <c r="D728" s="65"/>
      <c r="E728" s="40"/>
      <c r="F728" s="40"/>
      <c r="G728" s="40"/>
      <c r="H728" s="40"/>
      <c r="I728" s="65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</row>
    <row r="729" spans="1:54" ht="14.25" customHeight="1">
      <c r="A729" s="65"/>
      <c r="B729" s="40"/>
      <c r="C729" s="40"/>
      <c r="D729" s="65"/>
      <c r="E729" s="40"/>
      <c r="F729" s="40"/>
      <c r="G729" s="40"/>
      <c r="H729" s="40"/>
      <c r="I729" s="65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</row>
    <row r="730" spans="1:54" ht="14.25" customHeight="1">
      <c r="A730" s="65"/>
      <c r="B730" s="40"/>
      <c r="C730" s="40"/>
      <c r="D730" s="65"/>
      <c r="E730" s="40"/>
      <c r="F730" s="40"/>
      <c r="G730" s="40"/>
      <c r="H730" s="40"/>
      <c r="I730" s="65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</row>
    <row r="731" spans="1:54" ht="14.25" customHeight="1">
      <c r="A731" s="65"/>
      <c r="B731" s="40"/>
      <c r="C731" s="40"/>
      <c r="D731" s="65"/>
      <c r="E731" s="40"/>
      <c r="F731" s="40"/>
      <c r="G731" s="40"/>
      <c r="H731" s="40"/>
      <c r="I731" s="65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</row>
    <row r="732" spans="1:54" ht="14.25" customHeight="1">
      <c r="A732" s="65"/>
      <c r="B732" s="40"/>
      <c r="C732" s="40"/>
      <c r="D732" s="65"/>
      <c r="E732" s="40"/>
      <c r="F732" s="40"/>
      <c r="G732" s="40"/>
      <c r="H732" s="40"/>
      <c r="I732" s="65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</row>
    <row r="733" spans="1:54" ht="14.25" customHeight="1">
      <c r="A733" s="65"/>
      <c r="B733" s="40"/>
      <c r="C733" s="40"/>
      <c r="D733" s="65"/>
      <c r="E733" s="40"/>
      <c r="F733" s="40"/>
      <c r="G733" s="40"/>
      <c r="H733" s="40"/>
      <c r="I733" s="65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</row>
    <row r="734" spans="1:54" ht="14.25" customHeight="1">
      <c r="A734" s="65"/>
      <c r="B734" s="40"/>
      <c r="C734" s="40"/>
      <c r="D734" s="65"/>
      <c r="E734" s="40"/>
      <c r="F734" s="40"/>
      <c r="G734" s="40"/>
      <c r="H734" s="40"/>
      <c r="I734" s="65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</row>
    <row r="735" spans="1:54" ht="14.25" customHeight="1">
      <c r="A735" s="65"/>
      <c r="B735" s="40"/>
      <c r="C735" s="40"/>
      <c r="D735" s="65"/>
      <c r="E735" s="40"/>
      <c r="F735" s="40"/>
      <c r="G735" s="40"/>
      <c r="H735" s="40"/>
      <c r="I735" s="65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</row>
    <row r="736" spans="1:54" ht="14.25" customHeight="1">
      <c r="A736" s="65"/>
      <c r="B736" s="40"/>
      <c r="C736" s="40"/>
      <c r="D736" s="65"/>
      <c r="E736" s="40"/>
      <c r="F736" s="40"/>
      <c r="G736" s="40"/>
      <c r="H736" s="40"/>
      <c r="I736" s="65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</row>
    <row r="737" spans="1:54" ht="14.25" customHeight="1">
      <c r="A737" s="65"/>
      <c r="B737" s="40"/>
      <c r="C737" s="40"/>
      <c r="D737" s="65"/>
      <c r="E737" s="40"/>
      <c r="F737" s="40"/>
      <c r="G737" s="40"/>
      <c r="H737" s="40"/>
      <c r="I737" s="65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</row>
    <row r="738" spans="1:54" ht="14.25" customHeight="1">
      <c r="A738" s="65"/>
      <c r="B738" s="40"/>
      <c r="C738" s="40"/>
      <c r="D738" s="65"/>
      <c r="E738" s="40"/>
      <c r="F738" s="40"/>
      <c r="G738" s="40"/>
      <c r="H738" s="40"/>
      <c r="I738" s="65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</row>
    <row r="739" spans="1:54" ht="14.25" customHeight="1">
      <c r="A739" s="65"/>
      <c r="B739" s="40"/>
      <c r="C739" s="40"/>
      <c r="D739" s="65"/>
      <c r="E739" s="40"/>
      <c r="F739" s="40"/>
      <c r="G739" s="40"/>
      <c r="H739" s="40"/>
      <c r="I739" s="65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</row>
    <row r="740" spans="1:54" ht="14.25" customHeight="1">
      <c r="A740" s="65"/>
      <c r="B740" s="40"/>
      <c r="C740" s="40"/>
      <c r="D740" s="65"/>
      <c r="E740" s="40"/>
      <c r="F740" s="40"/>
      <c r="G740" s="40"/>
      <c r="H740" s="40"/>
      <c r="I740" s="65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</row>
    <row r="741" spans="1:54" ht="14.25" customHeight="1">
      <c r="A741" s="65"/>
      <c r="B741" s="40"/>
      <c r="C741" s="40"/>
      <c r="D741" s="65"/>
      <c r="E741" s="40"/>
      <c r="F741" s="40"/>
      <c r="G741" s="40"/>
      <c r="H741" s="40"/>
      <c r="I741" s="65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</row>
    <row r="742" spans="1:54" ht="14.25" customHeight="1">
      <c r="A742" s="65"/>
      <c r="B742" s="40"/>
      <c r="C742" s="40"/>
      <c r="D742" s="65"/>
      <c r="E742" s="40"/>
      <c r="F742" s="40"/>
      <c r="G742" s="40"/>
      <c r="H742" s="40"/>
      <c r="I742" s="65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</row>
    <row r="743" spans="1:54" ht="14.25" customHeight="1">
      <c r="A743" s="65"/>
      <c r="B743" s="40"/>
      <c r="C743" s="40"/>
      <c r="D743" s="65"/>
      <c r="E743" s="40"/>
      <c r="F743" s="40"/>
      <c r="G743" s="40"/>
      <c r="H743" s="40"/>
      <c r="I743" s="65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</row>
    <row r="744" spans="1:54" ht="14.25" customHeight="1">
      <c r="A744" s="65"/>
      <c r="B744" s="40"/>
      <c r="C744" s="40"/>
      <c r="D744" s="65"/>
      <c r="E744" s="40"/>
      <c r="F744" s="40"/>
      <c r="G744" s="40"/>
      <c r="H744" s="40"/>
      <c r="I744" s="65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</row>
    <row r="745" spans="1:54" ht="14.25" customHeight="1">
      <c r="A745" s="65"/>
      <c r="B745" s="40"/>
      <c r="C745" s="40"/>
      <c r="D745" s="65"/>
      <c r="E745" s="40"/>
      <c r="F745" s="40"/>
      <c r="G745" s="40"/>
      <c r="H745" s="40"/>
      <c r="I745" s="65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</row>
    <row r="746" spans="1:54" ht="14.25" customHeight="1">
      <c r="A746" s="65"/>
      <c r="B746" s="40"/>
      <c r="C746" s="40"/>
      <c r="D746" s="65"/>
      <c r="E746" s="40"/>
      <c r="F746" s="40"/>
      <c r="G746" s="40"/>
      <c r="H746" s="40"/>
      <c r="I746" s="65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</row>
    <row r="747" spans="1:54" ht="14.25" customHeight="1">
      <c r="A747" s="65"/>
      <c r="B747" s="40"/>
      <c r="C747" s="40"/>
      <c r="D747" s="65"/>
      <c r="E747" s="40"/>
      <c r="F747" s="40"/>
      <c r="G747" s="40"/>
      <c r="H747" s="40"/>
      <c r="I747" s="65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</row>
    <row r="748" spans="1:54" ht="14.25" customHeight="1">
      <c r="A748" s="65"/>
      <c r="B748" s="40"/>
      <c r="C748" s="40"/>
      <c r="D748" s="65"/>
      <c r="E748" s="40"/>
      <c r="F748" s="40"/>
      <c r="G748" s="40"/>
      <c r="H748" s="40"/>
      <c r="I748" s="65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</row>
    <row r="749" spans="1:54" ht="14.25" customHeight="1">
      <c r="A749" s="65"/>
      <c r="B749" s="40"/>
      <c r="C749" s="40"/>
      <c r="D749" s="65"/>
      <c r="E749" s="40"/>
      <c r="F749" s="40"/>
      <c r="G749" s="40"/>
      <c r="H749" s="40"/>
      <c r="I749" s="65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</row>
    <row r="750" spans="1:54" ht="14.25" customHeight="1">
      <c r="A750" s="65"/>
      <c r="B750" s="40"/>
      <c r="C750" s="40"/>
      <c r="D750" s="65"/>
      <c r="E750" s="40"/>
      <c r="F750" s="40"/>
      <c r="G750" s="40"/>
      <c r="H750" s="40"/>
      <c r="I750" s="65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</row>
    <row r="751" spans="1:54" ht="14.25" customHeight="1">
      <c r="A751" s="65"/>
      <c r="B751" s="40"/>
      <c r="C751" s="40"/>
      <c r="D751" s="65"/>
      <c r="E751" s="40"/>
      <c r="F751" s="40"/>
      <c r="G751" s="40"/>
      <c r="H751" s="40"/>
      <c r="I751" s="65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</row>
    <row r="752" spans="1:54" ht="14.25" customHeight="1">
      <c r="A752" s="65"/>
      <c r="B752" s="40"/>
      <c r="C752" s="40"/>
      <c r="D752" s="65"/>
      <c r="E752" s="40"/>
      <c r="F752" s="40"/>
      <c r="G752" s="40"/>
      <c r="H752" s="40"/>
      <c r="I752" s="65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</row>
    <row r="753" spans="1:54" ht="14.25" customHeight="1">
      <c r="A753" s="65"/>
      <c r="B753" s="40"/>
      <c r="C753" s="40"/>
      <c r="D753" s="65"/>
      <c r="E753" s="40"/>
      <c r="F753" s="40"/>
      <c r="G753" s="40"/>
      <c r="H753" s="40"/>
      <c r="I753" s="65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</row>
    <row r="754" spans="1:54" ht="14.25" customHeight="1">
      <c r="A754" s="65"/>
      <c r="B754" s="40"/>
      <c r="C754" s="40"/>
      <c r="D754" s="65"/>
      <c r="E754" s="40"/>
      <c r="F754" s="40"/>
      <c r="G754" s="40"/>
      <c r="H754" s="40"/>
      <c r="I754" s="65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</row>
    <row r="755" spans="1:54" ht="14.25" customHeight="1">
      <c r="A755" s="65"/>
      <c r="B755" s="40"/>
      <c r="C755" s="40"/>
      <c r="D755" s="65"/>
      <c r="E755" s="40"/>
      <c r="F755" s="40"/>
      <c r="G755" s="40"/>
      <c r="H755" s="40"/>
      <c r="I755" s="65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</row>
    <row r="756" spans="1:54" ht="14.25" customHeight="1">
      <c r="A756" s="65"/>
      <c r="B756" s="40"/>
      <c r="C756" s="40"/>
      <c r="D756" s="65"/>
      <c r="E756" s="40"/>
      <c r="F756" s="40"/>
      <c r="G756" s="40"/>
      <c r="H756" s="40"/>
      <c r="I756" s="65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</row>
    <row r="757" spans="1:54" ht="14.25" customHeight="1">
      <c r="A757" s="65"/>
      <c r="B757" s="40"/>
      <c r="C757" s="40"/>
      <c r="D757" s="65"/>
      <c r="E757" s="40"/>
      <c r="F757" s="40"/>
      <c r="G757" s="40"/>
      <c r="H757" s="40"/>
      <c r="I757" s="65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</row>
    <row r="758" spans="1:54" ht="14.25" customHeight="1">
      <c r="A758" s="65"/>
      <c r="B758" s="40"/>
      <c r="C758" s="40"/>
      <c r="D758" s="65"/>
      <c r="E758" s="40"/>
      <c r="F758" s="40"/>
      <c r="G758" s="40"/>
      <c r="H758" s="40"/>
      <c r="I758" s="65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</row>
    <row r="759" spans="1:54" ht="14.25" customHeight="1">
      <c r="A759" s="65"/>
      <c r="B759" s="40"/>
      <c r="C759" s="40"/>
      <c r="D759" s="65"/>
      <c r="E759" s="40"/>
      <c r="F759" s="40"/>
      <c r="G759" s="40"/>
      <c r="H759" s="40"/>
      <c r="I759" s="65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</row>
    <row r="760" spans="1:54" ht="14.25" customHeight="1">
      <c r="A760" s="65"/>
      <c r="B760" s="40"/>
      <c r="C760" s="40"/>
      <c r="D760" s="65"/>
      <c r="E760" s="40"/>
      <c r="F760" s="40"/>
      <c r="G760" s="40"/>
      <c r="H760" s="40"/>
      <c r="I760" s="65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</row>
    <row r="761" spans="1:54" ht="14.25" customHeight="1">
      <c r="A761" s="65"/>
      <c r="B761" s="40"/>
      <c r="C761" s="40"/>
      <c r="D761" s="65"/>
      <c r="E761" s="40"/>
      <c r="F761" s="40"/>
      <c r="G761" s="40"/>
      <c r="H761" s="40"/>
      <c r="I761" s="65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</row>
    <row r="762" spans="1:54" ht="14.25" customHeight="1">
      <c r="A762" s="65"/>
      <c r="B762" s="40"/>
      <c r="C762" s="40"/>
      <c r="D762" s="65"/>
      <c r="E762" s="40"/>
      <c r="F762" s="40"/>
      <c r="G762" s="40"/>
      <c r="H762" s="40"/>
      <c r="I762" s="65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</row>
    <row r="763" spans="1:54" ht="14.25" customHeight="1">
      <c r="A763" s="65"/>
      <c r="B763" s="40"/>
      <c r="C763" s="40"/>
      <c r="D763" s="65"/>
      <c r="E763" s="40"/>
      <c r="F763" s="40"/>
      <c r="G763" s="40"/>
      <c r="H763" s="40"/>
      <c r="I763" s="65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</row>
    <row r="764" spans="1:54" ht="14.25" customHeight="1">
      <c r="A764" s="65"/>
      <c r="B764" s="40"/>
      <c r="C764" s="40"/>
      <c r="D764" s="65"/>
      <c r="E764" s="40"/>
      <c r="F764" s="40"/>
      <c r="G764" s="40"/>
      <c r="H764" s="40"/>
      <c r="I764" s="65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</row>
    <row r="765" spans="1:54" ht="14.25" customHeight="1">
      <c r="A765" s="65"/>
      <c r="B765" s="40"/>
      <c r="C765" s="40"/>
      <c r="D765" s="65"/>
      <c r="E765" s="40"/>
      <c r="F765" s="40"/>
      <c r="G765" s="40"/>
      <c r="H765" s="40"/>
      <c r="I765" s="65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</row>
    <row r="766" spans="1:54" ht="14.25" customHeight="1">
      <c r="A766" s="65"/>
      <c r="B766" s="40"/>
      <c r="C766" s="40"/>
      <c r="D766" s="65"/>
      <c r="E766" s="40"/>
      <c r="F766" s="40"/>
      <c r="G766" s="40"/>
      <c r="H766" s="40"/>
      <c r="I766" s="65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</row>
    <row r="767" spans="1:54" ht="14.25" customHeight="1">
      <c r="A767" s="65"/>
      <c r="B767" s="40"/>
      <c r="C767" s="40"/>
      <c r="D767" s="65"/>
      <c r="E767" s="40"/>
      <c r="F767" s="40"/>
      <c r="G767" s="40"/>
      <c r="H767" s="40"/>
      <c r="I767" s="65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</row>
    <row r="768" spans="1:54" ht="14.25" customHeight="1">
      <c r="A768" s="65"/>
      <c r="B768" s="40"/>
      <c r="C768" s="40"/>
      <c r="D768" s="65"/>
      <c r="E768" s="40"/>
      <c r="F768" s="40"/>
      <c r="G768" s="40"/>
      <c r="H768" s="40"/>
      <c r="I768" s="65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</row>
    <row r="769" spans="1:54" ht="14.25" customHeight="1">
      <c r="A769" s="65"/>
      <c r="B769" s="40"/>
      <c r="C769" s="40"/>
      <c r="D769" s="65"/>
      <c r="E769" s="40"/>
      <c r="F769" s="40"/>
      <c r="G769" s="40"/>
      <c r="H769" s="40"/>
      <c r="I769" s="65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</row>
    <row r="770" spans="1:54" ht="14.25" customHeight="1">
      <c r="A770" s="65"/>
      <c r="B770" s="40"/>
      <c r="C770" s="40"/>
      <c r="D770" s="65"/>
      <c r="E770" s="40"/>
      <c r="F770" s="40"/>
      <c r="G770" s="40"/>
      <c r="H770" s="40"/>
      <c r="I770" s="65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</row>
    <row r="771" spans="1:54" ht="14.25" customHeight="1">
      <c r="A771" s="65"/>
      <c r="B771" s="40"/>
      <c r="C771" s="40"/>
      <c r="D771" s="65"/>
      <c r="E771" s="40"/>
      <c r="F771" s="40"/>
      <c r="G771" s="40"/>
      <c r="H771" s="40"/>
      <c r="I771" s="65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</row>
    <row r="772" spans="1:54" ht="14.25" customHeight="1">
      <c r="A772" s="65"/>
      <c r="B772" s="40"/>
      <c r="C772" s="40"/>
      <c r="D772" s="65"/>
      <c r="E772" s="40"/>
      <c r="F772" s="40"/>
      <c r="G772" s="40"/>
      <c r="H772" s="40"/>
      <c r="I772" s="65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</row>
    <row r="773" spans="1:54" ht="14.25" customHeight="1">
      <c r="A773" s="65"/>
      <c r="B773" s="40"/>
      <c r="C773" s="40"/>
      <c r="D773" s="65"/>
      <c r="E773" s="40"/>
      <c r="F773" s="40"/>
      <c r="G773" s="40"/>
      <c r="H773" s="40"/>
      <c r="I773" s="65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</row>
    <row r="774" spans="1:54" ht="14.25" customHeight="1">
      <c r="A774" s="65"/>
      <c r="B774" s="40"/>
      <c r="C774" s="40"/>
      <c r="D774" s="65"/>
      <c r="E774" s="40"/>
      <c r="F774" s="40"/>
      <c r="G774" s="40"/>
      <c r="H774" s="40"/>
      <c r="I774" s="65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</row>
    <row r="775" spans="1:54" ht="14.25" customHeight="1">
      <c r="A775" s="65"/>
      <c r="B775" s="40"/>
      <c r="C775" s="40"/>
      <c r="D775" s="65"/>
      <c r="E775" s="40"/>
      <c r="F775" s="40"/>
      <c r="G775" s="40"/>
      <c r="H775" s="40"/>
      <c r="I775" s="65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</row>
    <row r="776" spans="1:54" ht="14.25" customHeight="1">
      <c r="A776" s="65"/>
      <c r="B776" s="40"/>
      <c r="C776" s="40"/>
      <c r="D776" s="65"/>
      <c r="E776" s="40"/>
      <c r="F776" s="40"/>
      <c r="G776" s="40"/>
      <c r="H776" s="40"/>
      <c r="I776" s="65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</row>
    <row r="777" spans="1:54" ht="14.25" customHeight="1">
      <c r="A777" s="65"/>
      <c r="B777" s="40"/>
      <c r="C777" s="40"/>
      <c r="D777" s="65"/>
      <c r="E777" s="40"/>
      <c r="F777" s="40"/>
      <c r="G777" s="40"/>
      <c r="H777" s="40"/>
      <c r="I777" s="65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</row>
    <row r="778" spans="1:54" ht="14.25" customHeight="1">
      <c r="A778" s="65"/>
      <c r="B778" s="40"/>
      <c r="C778" s="40"/>
      <c r="D778" s="65"/>
      <c r="E778" s="40"/>
      <c r="F778" s="40"/>
      <c r="G778" s="40"/>
      <c r="H778" s="40"/>
      <c r="I778" s="65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</row>
    <row r="779" spans="1:54" ht="14.25" customHeight="1">
      <c r="A779" s="65"/>
      <c r="B779" s="40"/>
      <c r="C779" s="40"/>
      <c r="D779" s="65"/>
      <c r="E779" s="40"/>
      <c r="F779" s="40"/>
      <c r="G779" s="40"/>
      <c r="H779" s="40"/>
      <c r="I779" s="65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</row>
    <row r="780" spans="1:54" ht="14.25" customHeight="1">
      <c r="A780" s="65"/>
      <c r="B780" s="40"/>
      <c r="C780" s="40"/>
      <c r="D780" s="65"/>
      <c r="E780" s="40"/>
      <c r="F780" s="40"/>
      <c r="G780" s="40"/>
      <c r="H780" s="40"/>
      <c r="I780" s="65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</row>
    <row r="781" spans="1:54" ht="14.25" customHeight="1">
      <c r="A781" s="65"/>
      <c r="B781" s="40"/>
      <c r="C781" s="40"/>
      <c r="D781" s="65"/>
      <c r="E781" s="40"/>
      <c r="F781" s="40"/>
      <c r="G781" s="40"/>
      <c r="H781" s="40"/>
      <c r="I781" s="65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</row>
    <row r="782" spans="1:54" ht="14.25" customHeight="1">
      <c r="A782" s="65"/>
      <c r="B782" s="40"/>
      <c r="C782" s="40"/>
      <c r="D782" s="65"/>
      <c r="E782" s="40"/>
      <c r="F782" s="40"/>
      <c r="G782" s="40"/>
      <c r="H782" s="40"/>
      <c r="I782" s="65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</row>
    <row r="783" spans="1:54" ht="14.25" customHeight="1">
      <c r="A783" s="65"/>
      <c r="B783" s="40"/>
      <c r="C783" s="40"/>
      <c r="D783" s="65"/>
      <c r="E783" s="40"/>
      <c r="F783" s="40"/>
      <c r="G783" s="40"/>
      <c r="H783" s="40"/>
      <c r="I783" s="65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</row>
    <row r="784" spans="1:54" ht="14.25" customHeight="1">
      <c r="A784" s="65"/>
      <c r="B784" s="40"/>
      <c r="C784" s="40"/>
      <c r="D784" s="65"/>
      <c r="E784" s="40"/>
      <c r="F784" s="40"/>
      <c r="G784" s="40"/>
      <c r="H784" s="40"/>
      <c r="I784" s="65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</row>
    <row r="785" spans="1:54" ht="14.25" customHeight="1">
      <c r="A785" s="65"/>
      <c r="B785" s="40"/>
      <c r="C785" s="40"/>
      <c r="D785" s="65"/>
      <c r="E785" s="40"/>
      <c r="F785" s="40"/>
      <c r="G785" s="40"/>
      <c r="H785" s="40"/>
      <c r="I785" s="65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</row>
    <row r="786" spans="1:54" ht="14.25" customHeight="1">
      <c r="A786" s="65"/>
      <c r="B786" s="40"/>
      <c r="C786" s="40"/>
      <c r="D786" s="65"/>
      <c r="E786" s="40"/>
      <c r="F786" s="40"/>
      <c r="G786" s="40"/>
      <c r="H786" s="40"/>
      <c r="I786" s="65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</row>
    <row r="787" spans="1:54" ht="14.25" customHeight="1">
      <c r="A787" s="65"/>
      <c r="B787" s="40"/>
      <c r="C787" s="40"/>
      <c r="D787" s="65"/>
      <c r="E787" s="40"/>
      <c r="F787" s="40"/>
      <c r="G787" s="40"/>
      <c r="H787" s="40"/>
      <c r="I787" s="65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</row>
    <row r="788" spans="1:54" ht="14.25" customHeight="1">
      <c r="A788" s="65"/>
      <c r="B788" s="40"/>
      <c r="C788" s="40"/>
      <c r="D788" s="65"/>
      <c r="E788" s="40"/>
      <c r="F788" s="40"/>
      <c r="G788" s="40"/>
      <c r="H788" s="40"/>
      <c r="I788" s="65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</row>
    <row r="789" spans="1:54" ht="14.25" customHeight="1">
      <c r="A789" s="65"/>
      <c r="B789" s="40"/>
      <c r="C789" s="40"/>
      <c r="D789" s="65"/>
      <c r="E789" s="40"/>
      <c r="F789" s="40"/>
      <c r="G789" s="40"/>
      <c r="H789" s="40"/>
      <c r="I789" s="65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</row>
    <row r="790" spans="1:54" ht="14.25" customHeight="1">
      <c r="A790" s="65"/>
      <c r="B790" s="40"/>
      <c r="C790" s="40"/>
      <c r="D790" s="65"/>
      <c r="E790" s="40"/>
      <c r="F790" s="40"/>
      <c r="G790" s="40"/>
      <c r="H790" s="40"/>
      <c r="I790" s="65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</row>
    <row r="791" spans="1:54" ht="14.25" customHeight="1">
      <c r="A791" s="65"/>
      <c r="B791" s="40"/>
      <c r="C791" s="40"/>
      <c r="D791" s="65"/>
      <c r="E791" s="40"/>
      <c r="F791" s="40"/>
      <c r="G791" s="40"/>
      <c r="H791" s="40"/>
      <c r="I791" s="65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</row>
    <row r="792" spans="1:54" ht="14.25" customHeight="1">
      <c r="A792" s="65"/>
      <c r="B792" s="40"/>
      <c r="C792" s="40"/>
      <c r="D792" s="65"/>
      <c r="E792" s="40"/>
      <c r="F792" s="40"/>
      <c r="G792" s="40"/>
      <c r="H792" s="40"/>
      <c r="I792" s="65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</row>
    <row r="793" spans="1:54" ht="14.25" customHeight="1">
      <c r="A793" s="65"/>
      <c r="B793" s="40"/>
      <c r="C793" s="40"/>
      <c r="D793" s="65"/>
      <c r="E793" s="40"/>
      <c r="F793" s="40"/>
      <c r="G793" s="40"/>
      <c r="H793" s="40"/>
      <c r="I793" s="65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</row>
    <row r="794" spans="1:54" ht="14.25" customHeight="1">
      <c r="A794" s="65"/>
      <c r="B794" s="40"/>
      <c r="C794" s="40"/>
      <c r="D794" s="65"/>
      <c r="E794" s="40"/>
      <c r="F794" s="40"/>
      <c r="G794" s="40"/>
      <c r="H794" s="40"/>
      <c r="I794" s="65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</row>
    <row r="795" spans="1:54" ht="14.25" customHeight="1">
      <c r="A795" s="65"/>
      <c r="B795" s="40"/>
      <c r="C795" s="40"/>
      <c r="D795" s="65"/>
      <c r="E795" s="40"/>
      <c r="F795" s="40"/>
      <c r="G795" s="40"/>
      <c r="H795" s="40"/>
      <c r="I795" s="65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</row>
    <row r="796" spans="1:54" ht="14.25" customHeight="1">
      <c r="A796" s="65"/>
      <c r="B796" s="40"/>
      <c r="C796" s="40"/>
      <c r="D796" s="65"/>
      <c r="E796" s="40"/>
      <c r="F796" s="40"/>
      <c r="G796" s="40"/>
      <c r="H796" s="40"/>
      <c r="I796" s="65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</row>
    <row r="797" spans="1:54" ht="14.25" customHeight="1">
      <c r="A797" s="65"/>
      <c r="B797" s="40"/>
      <c r="C797" s="40"/>
      <c r="D797" s="65"/>
      <c r="E797" s="40"/>
      <c r="F797" s="40"/>
      <c r="G797" s="40"/>
      <c r="H797" s="40"/>
      <c r="I797" s="65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</row>
    <row r="798" spans="1:54" ht="14.25" customHeight="1">
      <c r="A798" s="65"/>
      <c r="B798" s="40"/>
      <c r="C798" s="40"/>
      <c r="D798" s="65"/>
      <c r="E798" s="40"/>
      <c r="F798" s="40"/>
      <c r="G798" s="40"/>
      <c r="H798" s="40"/>
      <c r="I798" s="65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</row>
    <row r="799" spans="1:54" ht="14.25" customHeight="1">
      <c r="A799" s="65"/>
      <c r="B799" s="40"/>
      <c r="C799" s="40"/>
      <c r="D799" s="65"/>
      <c r="E799" s="40"/>
      <c r="F799" s="40"/>
      <c r="G799" s="40"/>
      <c r="H799" s="40"/>
      <c r="I799" s="65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</row>
    <row r="800" spans="1:54" ht="14.25" customHeight="1">
      <c r="A800" s="65"/>
      <c r="B800" s="40"/>
      <c r="C800" s="40"/>
      <c r="D800" s="65"/>
      <c r="E800" s="40"/>
      <c r="F800" s="40"/>
      <c r="G800" s="40"/>
      <c r="H800" s="40"/>
      <c r="I800" s="65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</row>
    <row r="801" spans="1:54" ht="14.25" customHeight="1">
      <c r="A801" s="65"/>
      <c r="B801" s="40"/>
      <c r="C801" s="40"/>
      <c r="D801" s="65"/>
      <c r="E801" s="40"/>
      <c r="F801" s="40"/>
      <c r="G801" s="40"/>
      <c r="H801" s="40"/>
      <c r="I801" s="65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</row>
    <row r="802" spans="1:54" ht="14.25" customHeight="1">
      <c r="A802" s="65"/>
      <c r="B802" s="40"/>
      <c r="C802" s="40"/>
      <c r="D802" s="65"/>
      <c r="E802" s="40"/>
      <c r="F802" s="40"/>
      <c r="G802" s="40"/>
      <c r="H802" s="40"/>
      <c r="I802" s="65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</row>
    <row r="803" spans="1:54" ht="14.25" customHeight="1">
      <c r="A803" s="65"/>
      <c r="B803" s="40"/>
      <c r="C803" s="40"/>
      <c r="D803" s="65"/>
      <c r="E803" s="40"/>
      <c r="F803" s="40"/>
      <c r="G803" s="40"/>
      <c r="H803" s="40"/>
      <c r="I803" s="65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</row>
    <row r="804" spans="1:54" ht="14.25" customHeight="1">
      <c r="A804" s="65"/>
      <c r="B804" s="40"/>
      <c r="C804" s="40"/>
      <c r="D804" s="65"/>
      <c r="E804" s="40"/>
      <c r="F804" s="40"/>
      <c r="G804" s="40"/>
      <c r="H804" s="40"/>
      <c r="I804" s="65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</row>
    <row r="805" spans="1:54" ht="14.25" customHeight="1">
      <c r="A805" s="65"/>
      <c r="B805" s="40"/>
      <c r="C805" s="40"/>
      <c r="D805" s="65"/>
      <c r="E805" s="40"/>
      <c r="F805" s="40"/>
      <c r="G805" s="40"/>
      <c r="H805" s="40"/>
      <c r="I805" s="65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</row>
    <row r="806" spans="1:54" ht="14.25" customHeight="1">
      <c r="A806" s="65"/>
      <c r="B806" s="40"/>
      <c r="C806" s="40"/>
      <c r="D806" s="65"/>
      <c r="E806" s="40"/>
      <c r="F806" s="40"/>
      <c r="G806" s="40"/>
      <c r="H806" s="40"/>
      <c r="I806" s="65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</row>
    <row r="807" spans="1:54" ht="14.25" customHeight="1">
      <c r="A807" s="65"/>
      <c r="B807" s="40"/>
      <c r="C807" s="40"/>
      <c r="D807" s="65"/>
      <c r="E807" s="40"/>
      <c r="F807" s="40"/>
      <c r="G807" s="40"/>
      <c r="H807" s="40"/>
      <c r="I807" s="65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</row>
    <row r="808" spans="1:54" ht="14.25" customHeight="1">
      <c r="A808" s="65"/>
      <c r="B808" s="40"/>
      <c r="C808" s="40"/>
      <c r="D808" s="65"/>
      <c r="E808" s="40"/>
      <c r="F808" s="40"/>
      <c r="G808" s="40"/>
      <c r="H808" s="40"/>
      <c r="I808" s="65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</row>
    <row r="809" spans="1:54" ht="14.25" customHeight="1">
      <c r="A809" s="65"/>
      <c r="B809" s="40"/>
      <c r="C809" s="40"/>
      <c r="D809" s="65"/>
      <c r="E809" s="40"/>
      <c r="F809" s="40"/>
      <c r="G809" s="40"/>
      <c r="H809" s="40"/>
      <c r="I809" s="65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</row>
    <row r="810" spans="1:54" ht="14.25" customHeight="1">
      <c r="A810" s="65"/>
      <c r="B810" s="40"/>
      <c r="C810" s="40"/>
      <c r="D810" s="65"/>
      <c r="E810" s="40"/>
      <c r="F810" s="40"/>
      <c r="G810" s="40"/>
      <c r="H810" s="40"/>
      <c r="I810" s="65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</row>
    <row r="811" spans="1:54" ht="14.25" customHeight="1">
      <c r="A811" s="65"/>
      <c r="B811" s="40"/>
      <c r="C811" s="40"/>
      <c r="D811" s="65"/>
      <c r="E811" s="40"/>
      <c r="F811" s="40"/>
      <c r="G811" s="40"/>
      <c r="H811" s="40"/>
      <c r="I811" s="65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</row>
    <row r="812" spans="1:54" ht="14.25" customHeight="1">
      <c r="A812" s="65"/>
      <c r="B812" s="40"/>
      <c r="C812" s="40"/>
      <c r="D812" s="65"/>
      <c r="E812" s="40"/>
      <c r="F812" s="40"/>
      <c r="G812" s="40"/>
      <c r="H812" s="40"/>
      <c r="I812" s="65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</row>
    <row r="813" spans="1:54" ht="14.25" customHeight="1">
      <c r="A813" s="65"/>
      <c r="B813" s="40"/>
      <c r="C813" s="40"/>
      <c r="D813" s="65"/>
      <c r="E813" s="40"/>
      <c r="F813" s="40"/>
      <c r="G813" s="40"/>
      <c r="H813" s="40"/>
      <c r="I813" s="65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</row>
    <row r="814" spans="1:54" ht="14.25" customHeight="1">
      <c r="A814" s="65"/>
      <c r="B814" s="40"/>
      <c r="C814" s="40"/>
      <c r="D814" s="65"/>
      <c r="E814" s="40"/>
      <c r="F814" s="40"/>
      <c r="G814" s="40"/>
      <c r="H814" s="40"/>
      <c r="I814" s="65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</row>
    <row r="815" spans="1:54" ht="14.25" customHeight="1">
      <c r="A815" s="65"/>
      <c r="B815" s="40"/>
      <c r="C815" s="40"/>
      <c r="D815" s="65"/>
      <c r="E815" s="40"/>
      <c r="F815" s="40"/>
      <c r="G815" s="40"/>
      <c r="H815" s="40"/>
      <c r="I815" s="65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</row>
    <row r="816" spans="1:54" ht="14.25" customHeight="1">
      <c r="A816" s="65"/>
      <c r="B816" s="40"/>
      <c r="C816" s="40"/>
      <c r="D816" s="65"/>
      <c r="E816" s="40"/>
      <c r="F816" s="40"/>
      <c r="G816" s="40"/>
      <c r="H816" s="40"/>
      <c r="I816" s="65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</row>
    <row r="817" spans="1:54" ht="14.25" customHeight="1">
      <c r="A817" s="65"/>
      <c r="B817" s="40"/>
      <c r="C817" s="40"/>
      <c r="D817" s="65"/>
      <c r="E817" s="40"/>
      <c r="F817" s="40"/>
      <c r="G817" s="40"/>
      <c r="H817" s="40"/>
      <c r="I817" s="65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</row>
    <row r="818" spans="1:54" ht="14.25" customHeight="1">
      <c r="A818" s="65"/>
      <c r="B818" s="40"/>
      <c r="C818" s="40"/>
      <c r="D818" s="65"/>
      <c r="E818" s="40"/>
      <c r="F818" s="40"/>
      <c r="G818" s="40"/>
      <c r="H818" s="40"/>
      <c r="I818" s="65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</row>
    <row r="819" spans="1:54" ht="14.25" customHeight="1">
      <c r="A819" s="65"/>
      <c r="B819" s="40"/>
      <c r="C819" s="40"/>
      <c r="D819" s="65"/>
      <c r="E819" s="40"/>
      <c r="F819" s="40"/>
      <c r="G819" s="40"/>
      <c r="H819" s="40"/>
      <c r="I819" s="65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</row>
    <row r="820" spans="1:54" ht="14.25" customHeight="1">
      <c r="A820" s="65"/>
      <c r="B820" s="40"/>
      <c r="C820" s="40"/>
      <c r="D820" s="65"/>
      <c r="E820" s="40"/>
      <c r="F820" s="40"/>
      <c r="G820" s="40"/>
      <c r="H820" s="40"/>
      <c r="I820" s="65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</row>
    <row r="821" spans="1:54" ht="14.25" customHeight="1">
      <c r="A821" s="65"/>
      <c r="B821" s="40"/>
      <c r="C821" s="40"/>
      <c r="D821" s="65"/>
      <c r="E821" s="40"/>
      <c r="F821" s="40"/>
      <c r="G821" s="40"/>
      <c r="H821" s="40"/>
      <c r="I821" s="65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</row>
    <row r="822" spans="1:54" ht="14.25" customHeight="1">
      <c r="A822" s="65"/>
      <c r="B822" s="40"/>
      <c r="C822" s="40"/>
      <c r="D822" s="65"/>
      <c r="E822" s="40"/>
      <c r="F822" s="40"/>
      <c r="G822" s="40"/>
      <c r="H822" s="40"/>
      <c r="I822" s="65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</row>
    <row r="823" spans="1:54" ht="14.25" customHeight="1">
      <c r="A823" s="65"/>
      <c r="B823" s="40"/>
      <c r="C823" s="40"/>
      <c r="D823" s="65"/>
      <c r="E823" s="40"/>
      <c r="F823" s="40"/>
      <c r="G823" s="40"/>
      <c r="H823" s="40"/>
      <c r="I823" s="65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</row>
    <row r="824" spans="1:54" ht="14.25" customHeight="1">
      <c r="A824" s="65"/>
      <c r="B824" s="40"/>
      <c r="C824" s="40"/>
      <c r="D824" s="65"/>
      <c r="E824" s="40"/>
      <c r="F824" s="40"/>
      <c r="G824" s="40"/>
      <c r="H824" s="40"/>
      <c r="I824" s="65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</row>
    <row r="825" spans="1:54" ht="14.25" customHeight="1">
      <c r="A825" s="65"/>
      <c r="B825" s="40"/>
      <c r="C825" s="40"/>
      <c r="D825" s="65"/>
      <c r="E825" s="40"/>
      <c r="F825" s="40"/>
      <c r="G825" s="40"/>
      <c r="H825" s="40"/>
      <c r="I825" s="65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</row>
    <row r="826" spans="1:54" ht="14.25" customHeight="1">
      <c r="A826" s="65"/>
      <c r="B826" s="40"/>
      <c r="C826" s="40"/>
      <c r="D826" s="65"/>
      <c r="E826" s="40"/>
      <c r="F826" s="40"/>
      <c r="G826" s="40"/>
      <c r="H826" s="40"/>
      <c r="I826" s="65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</row>
    <row r="827" spans="1:54" ht="14.25" customHeight="1">
      <c r="A827" s="65"/>
      <c r="B827" s="40"/>
      <c r="C827" s="40"/>
      <c r="D827" s="65"/>
      <c r="E827" s="40"/>
      <c r="F827" s="40"/>
      <c r="G827" s="40"/>
      <c r="H827" s="40"/>
      <c r="I827" s="65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</row>
    <row r="828" spans="1:54" ht="14.25" customHeight="1">
      <c r="A828" s="65"/>
      <c r="B828" s="40"/>
      <c r="C828" s="40"/>
      <c r="D828" s="65"/>
      <c r="E828" s="40"/>
      <c r="F828" s="40"/>
      <c r="G828" s="40"/>
      <c r="H828" s="40"/>
      <c r="I828" s="65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</row>
    <row r="829" spans="1:54" ht="14.25" customHeight="1">
      <c r="A829" s="65"/>
      <c r="B829" s="40"/>
      <c r="C829" s="40"/>
      <c r="D829" s="65"/>
      <c r="E829" s="40"/>
      <c r="F829" s="40"/>
      <c r="G829" s="40"/>
      <c r="H829" s="40"/>
      <c r="I829" s="65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</row>
    <row r="830" spans="1:54" ht="14.25" customHeight="1">
      <c r="A830" s="65"/>
      <c r="B830" s="40"/>
      <c r="C830" s="40"/>
      <c r="D830" s="65"/>
      <c r="E830" s="40"/>
      <c r="F830" s="40"/>
      <c r="G830" s="40"/>
      <c r="H830" s="40"/>
      <c r="I830" s="65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</row>
    <row r="831" spans="1:54" ht="14.25" customHeight="1">
      <c r="A831" s="65"/>
      <c r="B831" s="40"/>
      <c r="C831" s="40"/>
      <c r="D831" s="65"/>
      <c r="E831" s="40"/>
      <c r="F831" s="40"/>
      <c r="G831" s="40"/>
      <c r="H831" s="40"/>
      <c r="I831" s="65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</row>
    <row r="832" spans="1:54" ht="14.25" customHeight="1">
      <c r="A832" s="65"/>
      <c r="B832" s="40"/>
      <c r="C832" s="40"/>
      <c r="D832" s="65"/>
      <c r="E832" s="40"/>
      <c r="F832" s="40"/>
      <c r="G832" s="40"/>
      <c r="H832" s="40"/>
      <c r="I832" s="65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</row>
    <row r="833" spans="1:54" ht="14.25" customHeight="1">
      <c r="A833" s="65"/>
      <c r="B833" s="40"/>
      <c r="C833" s="40"/>
      <c r="D833" s="65"/>
      <c r="E833" s="40"/>
      <c r="F833" s="40"/>
      <c r="G833" s="40"/>
      <c r="H833" s="40"/>
      <c r="I833" s="65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</row>
    <row r="834" spans="1:54" ht="14.25" customHeight="1">
      <c r="A834" s="65"/>
      <c r="B834" s="40"/>
      <c r="C834" s="40"/>
      <c r="D834" s="65"/>
      <c r="E834" s="40"/>
      <c r="F834" s="40"/>
      <c r="G834" s="40"/>
      <c r="H834" s="40"/>
      <c r="I834" s="65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</row>
    <row r="835" spans="1:54" ht="14.25" customHeight="1">
      <c r="A835" s="65"/>
      <c r="B835" s="40"/>
      <c r="C835" s="40"/>
      <c r="D835" s="65"/>
      <c r="E835" s="40"/>
      <c r="F835" s="40"/>
      <c r="G835" s="40"/>
      <c r="H835" s="40"/>
      <c r="I835" s="65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</row>
    <row r="836" spans="1:54" ht="14.25" customHeight="1">
      <c r="A836" s="65"/>
      <c r="B836" s="40"/>
      <c r="C836" s="40"/>
      <c r="D836" s="65"/>
      <c r="E836" s="40"/>
      <c r="F836" s="40"/>
      <c r="G836" s="40"/>
      <c r="H836" s="40"/>
      <c r="I836" s="65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</row>
    <row r="837" spans="1:54" ht="14.25" customHeight="1">
      <c r="A837" s="65"/>
      <c r="B837" s="40"/>
      <c r="C837" s="40"/>
      <c r="D837" s="65"/>
      <c r="E837" s="40"/>
      <c r="F837" s="40"/>
      <c r="G837" s="40"/>
      <c r="H837" s="40"/>
      <c r="I837" s="65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</row>
    <row r="838" spans="1:54" ht="14.25" customHeight="1">
      <c r="A838" s="65"/>
      <c r="B838" s="40"/>
      <c r="C838" s="40"/>
      <c r="D838" s="65"/>
      <c r="E838" s="40"/>
      <c r="F838" s="40"/>
      <c r="G838" s="40"/>
      <c r="H838" s="40"/>
      <c r="I838" s="65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</row>
    <row r="839" spans="1:54" ht="14.25" customHeight="1">
      <c r="A839" s="65"/>
      <c r="B839" s="40"/>
      <c r="C839" s="40"/>
      <c r="D839" s="65"/>
      <c r="E839" s="40"/>
      <c r="F839" s="40"/>
      <c r="G839" s="40"/>
      <c r="H839" s="40"/>
      <c r="I839" s="65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</row>
    <row r="840" spans="1:54" ht="14.25" customHeight="1">
      <c r="A840" s="65"/>
      <c r="B840" s="40"/>
      <c r="C840" s="40"/>
      <c r="D840" s="65"/>
      <c r="E840" s="40"/>
      <c r="F840" s="40"/>
      <c r="G840" s="40"/>
      <c r="H840" s="40"/>
      <c r="I840" s="65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</row>
    <row r="841" spans="1:54" ht="14.25" customHeight="1">
      <c r="A841" s="65"/>
      <c r="B841" s="40"/>
      <c r="C841" s="40"/>
      <c r="D841" s="65"/>
      <c r="E841" s="40"/>
      <c r="F841" s="40"/>
      <c r="G841" s="40"/>
      <c r="H841" s="40"/>
      <c r="I841" s="65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</row>
    <row r="842" spans="1:54" ht="14.25" customHeight="1">
      <c r="A842" s="65"/>
      <c r="B842" s="40"/>
      <c r="C842" s="40"/>
      <c r="D842" s="65"/>
      <c r="E842" s="40"/>
      <c r="F842" s="40"/>
      <c r="G842" s="40"/>
      <c r="H842" s="40"/>
      <c r="I842" s="65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</row>
    <row r="843" spans="1:54" ht="14.25" customHeight="1">
      <c r="A843" s="65"/>
      <c r="B843" s="40"/>
      <c r="C843" s="40"/>
      <c r="D843" s="65"/>
      <c r="E843" s="40"/>
      <c r="F843" s="40"/>
      <c r="G843" s="40"/>
      <c r="H843" s="40"/>
      <c r="I843" s="65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</row>
    <row r="844" spans="1:54" ht="14.25" customHeight="1">
      <c r="A844" s="65"/>
      <c r="B844" s="40"/>
      <c r="C844" s="40"/>
      <c r="D844" s="65"/>
      <c r="E844" s="40"/>
      <c r="F844" s="40"/>
      <c r="G844" s="40"/>
      <c r="H844" s="40"/>
      <c r="I844" s="65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</row>
    <row r="845" spans="1:54" ht="14.25" customHeight="1">
      <c r="A845" s="65"/>
      <c r="B845" s="40"/>
      <c r="C845" s="40"/>
      <c r="D845" s="65"/>
      <c r="E845" s="40"/>
      <c r="F845" s="40"/>
      <c r="G845" s="40"/>
      <c r="H845" s="40"/>
      <c r="I845" s="65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</row>
    <row r="846" spans="1:54" ht="14.25" customHeight="1">
      <c r="A846" s="65"/>
      <c r="B846" s="40"/>
      <c r="C846" s="40"/>
      <c r="D846" s="65"/>
      <c r="E846" s="40"/>
      <c r="F846" s="40"/>
      <c r="G846" s="40"/>
      <c r="H846" s="40"/>
      <c r="I846" s="65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</row>
    <row r="847" spans="1:54" ht="14.25" customHeight="1">
      <c r="A847" s="65"/>
      <c r="B847" s="40"/>
      <c r="C847" s="40"/>
      <c r="D847" s="65"/>
      <c r="E847" s="40"/>
      <c r="F847" s="40"/>
      <c r="G847" s="40"/>
      <c r="H847" s="40"/>
      <c r="I847" s="65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</row>
    <row r="848" spans="1:54" ht="14.25" customHeight="1">
      <c r="A848" s="65"/>
      <c r="B848" s="40"/>
      <c r="C848" s="40"/>
      <c r="D848" s="65"/>
      <c r="E848" s="40"/>
      <c r="F848" s="40"/>
      <c r="G848" s="40"/>
      <c r="H848" s="40"/>
      <c r="I848" s="65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</row>
    <row r="849" spans="1:54" ht="14.25" customHeight="1">
      <c r="A849" s="65"/>
      <c r="B849" s="40"/>
      <c r="C849" s="40"/>
      <c r="D849" s="65"/>
      <c r="E849" s="40"/>
      <c r="F849" s="40"/>
      <c r="G849" s="40"/>
      <c r="H849" s="40"/>
      <c r="I849" s="65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</row>
    <row r="850" spans="1:54" ht="14.25" customHeight="1">
      <c r="A850" s="65"/>
      <c r="B850" s="40"/>
      <c r="C850" s="40"/>
      <c r="D850" s="65"/>
      <c r="E850" s="40"/>
      <c r="F850" s="40"/>
      <c r="G850" s="40"/>
      <c r="H850" s="40"/>
      <c r="I850" s="65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</row>
    <row r="851" spans="1:54" ht="14.25" customHeight="1">
      <c r="A851" s="65"/>
      <c r="B851" s="40"/>
      <c r="C851" s="40"/>
      <c r="D851" s="65"/>
      <c r="E851" s="40"/>
      <c r="F851" s="40"/>
      <c r="G851" s="40"/>
      <c r="H851" s="40"/>
      <c r="I851" s="65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</row>
    <row r="852" spans="1:54" ht="14.25" customHeight="1">
      <c r="A852" s="65"/>
      <c r="B852" s="40"/>
      <c r="C852" s="40"/>
      <c r="D852" s="65"/>
      <c r="E852" s="40"/>
      <c r="F852" s="40"/>
      <c r="G852" s="40"/>
      <c r="H852" s="40"/>
      <c r="I852" s="65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</row>
    <row r="853" spans="1:54" ht="14.25" customHeight="1">
      <c r="A853" s="65"/>
      <c r="B853" s="40"/>
      <c r="C853" s="40"/>
      <c r="D853" s="65"/>
      <c r="E853" s="40"/>
      <c r="F853" s="40"/>
      <c r="G853" s="40"/>
      <c r="H853" s="40"/>
      <c r="I853" s="65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</row>
    <row r="854" spans="1:54" ht="14.25" customHeight="1">
      <c r="A854" s="65"/>
      <c r="B854" s="40"/>
      <c r="C854" s="40"/>
      <c r="D854" s="65"/>
      <c r="E854" s="40"/>
      <c r="F854" s="40"/>
      <c r="G854" s="40"/>
      <c r="H854" s="40"/>
      <c r="I854" s="65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</row>
    <row r="855" spans="1:54" ht="14.25" customHeight="1">
      <c r="A855" s="65"/>
      <c r="B855" s="40"/>
      <c r="C855" s="40"/>
      <c r="D855" s="65"/>
      <c r="E855" s="40"/>
      <c r="F855" s="40"/>
      <c r="G855" s="40"/>
      <c r="H855" s="40"/>
      <c r="I855" s="65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</row>
    <row r="856" spans="1:54" ht="14.25" customHeight="1">
      <c r="A856" s="65"/>
      <c r="B856" s="40"/>
      <c r="C856" s="40"/>
      <c r="D856" s="65"/>
      <c r="E856" s="40"/>
      <c r="F856" s="40"/>
      <c r="G856" s="40"/>
      <c r="H856" s="40"/>
      <c r="I856" s="65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</row>
    <row r="857" spans="1:54" ht="14.25" customHeight="1">
      <c r="A857" s="65"/>
      <c r="B857" s="40"/>
      <c r="C857" s="40"/>
      <c r="D857" s="65"/>
      <c r="E857" s="40"/>
      <c r="F857" s="40"/>
      <c r="G857" s="40"/>
      <c r="H857" s="40"/>
      <c r="I857" s="65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</row>
    <row r="858" spans="1:54" ht="14.25" customHeight="1">
      <c r="A858" s="65"/>
      <c r="B858" s="40"/>
      <c r="C858" s="40"/>
      <c r="D858" s="65"/>
      <c r="E858" s="40"/>
      <c r="F858" s="40"/>
      <c r="G858" s="40"/>
      <c r="H858" s="40"/>
      <c r="I858" s="65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</row>
    <row r="859" spans="1:54" ht="14.25" customHeight="1">
      <c r="A859" s="65"/>
      <c r="B859" s="40"/>
      <c r="C859" s="40"/>
      <c r="D859" s="65"/>
      <c r="E859" s="40"/>
      <c r="F859" s="40"/>
      <c r="G859" s="40"/>
      <c r="H859" s="40"/>
      <c r="I859" s="65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</row>
    <row r="860" spans="1:54" ht="14.25" customHeight="1">
      <c r="A860" s="65"/>
      <c r="B860" s="40"/>
      <c r="C860" s="40"/>
      <c r="D860" s="65"/>
      <c r="E860" s="40"/>
      <c r="F860" s="40"/>
      <c r="G860" s="40"/>
      <c r="H860" s="40"/>
      <c r="I860" s="65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</row>
    <row r="861" spans="1:54" ht="14.25" customHeight="1">
      <c r="A861" s="65"/>
      <c r="B861" s="40"/>
      <c r="C861" s="40"/>
      <c r="D861" s="65"/>
      <c r="E861" s="40"/>
      <c r="F861" s="40"/>
      <c r="G861" s="40"/>
      <c r="H861" s="40"/>
      <c r="I861" s="65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</row>
    <row r="862" spans="1:54" ht="14.25" customHeight="1">
      <c r="A862" s="65"/>
      <c r="B862" s="40"/>
      <c r="C862" s="40"/>
      <c r="D862" s="65"/>
      <c r="E862" s="40"/>
      <c r="F862" s="40"/>
      <c r="G862" s="40"/>
      <c r="H862" s="40"/>
      <c r="I862" s="65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</row>
    <row r="863" spans="1:54" ht="14.25" customHeight="1">
      <c r="A863" s="65"/>
      <c r="B863" s="40"/>
      <c r="C863" s="40"/>
      <c r="D863" s="65"/>
      <c r="E863" s="40"/>
      <c r="F863" s="40"/>
      <c r="G863" s="40"/>
      <c r="H863" s="40"/>
      <c r="I863" s="65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</row>
    <row r="864" spans="1:54" ht="14.25" customHeight="1">
      <c r="A864" s="65"/>
      <c r="B864" s="40"/>
      <c r="C864" s="40"/>
      <c r="D864" s="65"/>
      <c r="E864" s="40"/>
      <c r="F864" s="40"/>
      <c r="G864" s="40"/>
      <c r="H864" s="40"/>
      <c r="I864" s="65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</row>
    <row r="865" spans="1:54" ht="14.25" customHeight="1">
      <c r="A865" s="65"/>
      <c r="B865" s="40"/>
      <c r="C865" s="40"/>
      <c r="D865" s="65"/>
      <c r="E865" s="40"/>
      <c r="F865" s="40"/>
      <c r="G865" s="40"/>
      <c r="H865" s="40"/>
      <c r="I865" s="65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</row>
    <row r="866" spans="1:54" ht="14.25" customHeight="1">
      <c r="A866" s="65"/>
      <c r="B866" s="40"/>
      <c r="C866" s="40"/>
      <c r="D866" s="65"/>
      <c r="E866" s="40"/>
      <c r="F866" s="40"/>
      <c r="G866" s="40"/>
      <c r="H866" s="40"/>
      <c r="I866" s="65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</row>
    <row r="867" spans="1:54" ht="14.25" customHeight="1">
      <c r="A867" s="65"/>
      <c r="B867" s="40"/>
      <c r="C867" s="40"/>
      <c r="D867" s="65"/>
      <c r="E867" s="40"/>
      <c r="F867" s="40"/>
      <c r="G867" s="40"/>
      <c r="H867" s="40"/>
      <c r="I867" s="65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</row>
    <row r="868" spans="1:54" ht="14.25" customHeight="1">
      <c r="A868" s="65"/>
      <c r="B868" s="40"/>
      <c r="C868" s="40"/>
      <c r="D868" s="65"/>
      <c r="E868" s="40"/>
      <c r="F868" s="40"/>
      <c r="G868" s="40"/>
      <c r="H868" s="40"/>
      <c r="I868" s="65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</row>
    <row r="869" spans="1:54" ht="14.25" customHeight="1">
      <c r="A869" s="65"/>
      <c r="B869" s="40"/>
      <c r="C869" s="40"/>
      <c r="D869" s="65"/>
      <c r="E869" s="40"/>
      <c r="F869" s="40"/>
      <c r="G869" s="40"/>
      <c r="H869" s="40"/>
      <c r="I869" s="65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</row>
    <row r="870" spans="1:54" ht="14.25" customHeight="1">
      <c r="A870" s="65"/>
      <c r="B870" s="40"/>
      <c r="C870" s="40"/>
      <c r="D870" s="65"/>
      <c r="E870" s="40"/>
      <c r="F870" s="40"/>
      <c r="G870" s="40"/>
      <c r="H870" s="40"/>
      <c r="I870" s="65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</row>
    <row r="871" spans="1:54" ht="14.25" customHeight="1">
      <c r="A871" s="65"/>
      <c r="B871" s="40"/>
      <c r="C871" s="40"/>
      <c r="D871" s="65"/>
      <c r="E871" s="40"/>
      <c r="F871" s="40"/>
      <c r="G871" s="40"/>
      <c r="H871" s="40"/>
      <c r="I871" s="65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</row>
    <row r="872" spans="1:54" ht="14.25" customHeight="1">
      <c r="A872" s="65"/>
      <c r="B872" s="40"/>
      <c r="C872" s="40"/>
      <c r="D872" s="65"/>
      <c r="E872" s="40"/>
      <c r="F872" s="40"/>
      <c r="G872" s="40"/>
      <c r="H872" s="40"/>
      <c r="I872" s="65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</row>
    <row r="873" spans="1:54" ht="14.25" customHeight="1">
      <c r="A873" s="65"/>
      <c r="B873" s="40"/>
      <c r="C873" s="40"/>
      <c r="D873" s="65"/>
      <c r="E873" s="40"/>
      <c r="F873" s="40"/>
      <c r="G873" s="40"/>
      <c r="H873" s="40"/>
      <c r="I873" s="65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</row>
    <row r="874" spans="1:54" ht="14.25" customHeight="1">
      <c r="A874" s="65"/>
      <c r="B874" s="40"/>
      <c r="C874" s="40"/>
      <c r="D874" s="65"/>
      <c r="E874" s="40"/>
      <c r="F874" s="40"/>
      <c r="G874" s="40"/>
      <c r="H874" s="40"/>
      <c r="I874" s="65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</row>
    <row r="875" spans="1:54" ht="14.25" customHeight="1">
      <c r="A875" s="65"/>
      <c r="B875" s="40"/>
      <c r="C875" s="40"/>
      <c r="D875" s="65"/>
      <c r="E875" s="40"/>
      <c r="F875" s="40"/>
      <c r="G875" s="40"/>
      <c r="H875" s="40"/>
      <c r="I875" s="65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</row>
    <row r="876" spans="1:54" ht="14.25" customHeight="1">
      <c r="A876" s="65"/>
      <c r="B876" s="40"/>
      <c r="C876" s="40"/>
      <c r="D876" s="65"/>
      <c r="E876" s="40"/>
      <c r="F876" s="40"/>
      <c r="G876" s="40"/>
      <c r="H876" s="40"/>
      <c r="I876" s="65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</row>
    <row r="877" spans="1:54" ht="14.25" customHeight="1">
      <c r="A877" s="65"/>
      <c r="B877" s="40"/>
      <c r="C877" s="40"/>
      <c r="D877" s="65"/>
      <c r="E877" s="40"/>
      <c r="F877" s="40"/>
      <c r="G877" s="40"/>
      <c r="H877" s="40"/>
      <c r="I877" s="65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</row>
    <row r="878" spans="1:54" ht="14.25" customHeight="1">
      <c r="A878" s="65"/>
      <c r="B878" s="40"/>
      <c r="C878" s="40"/>
      <c r="D878" s="65"/>
      <c r="E878" s="40"/>
      <c r="F878" s="40"/>
      <c r="G878" s="40"/>
      <c r="H878" s="40"/>
      <c r="I878" s="65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</row>
    <row r="879" spans="1:54" ht="14.25" customHeight="1">
      <c r="A879" s="65"/>
      <c r="B879" s="40"/>
      <c r="C879" s="40"/>
      <c r="D879" s="65"/>
      <c r="E879" s="40"/>
      <c r="F879" s="40"/>
      <c r="G879" s="40"/>
      <c r="H879" s="40"/>
      <c r="I879" s="65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</row>
    <row r="880" spans="1:54" ht="14.25" customHeight="1">
      <c r="A880" s="65"/>
      <c r="B880" s="40"/>
      <c r="C880" s="40"/>
      <c r="D880" s="65"/>
      <c r="E880" s="40"/>
      <c r="F880" s="40"/>
      <c r="G880" s="40"/>
      <c r="H880" s="40"/>
      <c r="I880" s="65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</row>
    <row r="881" spans="1:54" ht="14.25" customHeight="1">
      <c r="A881" s="65"/>
      <c r="B881" s="40"/>
      <c r="C881" s="40"/>
      <c r="D881" s="65"/>
      <c r="E881" s="40"/>
      <c r="F881" s="40"/>
      <c r="G881" s="40"/>
      <c r="H881" s="40"/>
      <c r="I881" s="65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</row>
    <row r="882" spans="1:54" ht="14.25" customHeight="1">
      <c r="A882" s="65"/>
      <c r="B882" s="40"/>
      <c r="C882" s="40"/>
      <c r="D882" s="65"/>
      <c r="E882" s="40"/>
      <c r="F882" s="40"/>
      <c r="G882" s="40"/>
      <c r="H882" s="40"/>
      <c r="I882" s="65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</row>
    <row r="883" spans="1:54" ht="14.25" customHeight="1">
      <c r="A883" s="65"/>
      <c r="B883" s="40"/>
      <c r="C883" s="40"/>
      <c r="D883" s="65"/>
      <c r="E883" s="40"/>
      <c r="F883" s="40"/>
      <c r="G883" s="40"/>
      <c r="H883" s="40"/>
      <c r="I883" s="65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</row>
    <row r="884" spans="1:54" ht="14.25" customHeight="1">
      <c r="A884" s="65"/>
      <c r="B884" s="40"/>
      <c r="C884" s="40"/>
      <c r="D884" s="65"/>
      <c r="E884" s="40"/>
      <c r="F884" s="40"/>
      <c r="G884" s="40"/>
      <c r="H884" s="40"/>
      <c r="I884" s="65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</row>
    <row r="885" spans="1:54" ht="14.25" customHeight="1">
      <c r="A885" s="65"/>
      <c r="B885" s="40"/>
      <c r="C885" s="40"/>
      <c r="D885" s="65"/>
      <c r="E885" s="40"/>
      <c r="F885" s="40"/>
      <c r="G885" s="40"/>
      <c r="H885" s="40"/>
      <c r="I885" s="65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</row>
    <row r="886" spans="1:54" ht="14.25" customHeight="1">
      <c r="A886" s="65"/>
      <c r="B886" s="40"/>
      <c r="C886" s="40"/>
      <c r="D886" s="65"/>
      <c r="E886" s="40"/>
      <c r="F886" s="40"/>
      <c r="G886" s="40"/>
      <c r="H886" s="40"/>
      <c r="I886" s="65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</row>
    <row r="887" spans="1:54" ht="14.25" customHeight="1">
      <c r="A887" s="65"/>
      <c r="B887" s="40"/>
      <c r="C887" s="40"/>
      <c r="D887" s="65"/>
      <c r="E887" s="40"/>
      <c r="F887" s="40"/>
      <c r="G887" s="40"/>
      <c r="H887" s="40"/>
      <c r="I887" s="65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</row>
    <row r="888" spans="1:54" ht="14.25" customHeight="1">
      <c r="A888" s="65"/>
      <c r="B888" s="40"/>
      <c r="C888" s="40"/>
      <c r="D888" s="65"/>
      <c r="E888" s="40"/>
      <c r="F888" s="40"/>
      <c r="G888" s="40"/>
      <c r="H888" s="40"/>
      <c r="I888" s="65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</row>
    <row r="889" spans="1:54" ht="14.25" customHeight="1">
      <c r="A889" s="65"/>
      <c r="B889" s="40"/>
      <c r="C889" s="40"/>
      <c r="D889" s="65"/>
      <c r="E889" s="40"/>
      <c r="F889" s="40"/>
      <c r="G889" s="40"/>
      <c r="H889" s="40"/>
      <c r="I889" s="65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</row>
    <row r="890" spans="1:54" ht="14.25" customHeight="1">
      <c r="A890" s="65"/>
      <c r="B890" s="40"/>
      <c r="C890" s="40"/>
      <c r="D890" s="65"/>
      <c r="E890" s="40"/>
      <c r="F890" s="40"/>
      <c r="G890" s="40"/>
      <c r="H890" s="40"/>
      <c r="I890" s="65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</row>
    <row r="891" spans="1:54" ht="14.25" customHeight="1">
      <c r="A891" s="65"/>
      <c r="B891" s="40"/>
      <c r="C891" s="40"/>
      <c r="D891" s="65"/>
      <c r="E891" s="40"/>
      <c r="F891" s="40"/>
      <c r="G891" s="40"/>
      <c r="H891" s="40"/>
      <c r="I891" s="65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</row>
    <row r="892" spans="1:54" ht="14.25" customHeight="1">
      <c r="A892" s="65"/>
      <c r="B892" s="40"/>
      <c r="C892" s="40"/>
      <c r="D892" s="65"/>
      <c r="E892" s="40"/>
      <c r="F892" s="40"/>
      <c r="G892" s="40"/>
      <c r="H892" s="40"/>
      <c r="I892" s="65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</row>
    <row r="893" spans="1:54" ht="14.25" customHeight="1">
      <c r="A893" s="65"/>
      <c r="B893" s="40"/>
      <c r="C893" s="40"/>
      <c r="D893" s="65"/>
      <c r="E893" s="40"/>
      <c r="F893" s="40"/>
      <c r="G893" s="40"/>
      <c r="H893" s="40"/>
      <c r="I893" s="65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</row>
    <row r="894" spans="1:54" ht="14.25" customHeight="1">
      <c r="A894" s="65"/>
      <c r="B894" s="40"/>
      <c r="C894" s="40"/>
      <c r="D894" s="65"/>
      <c r="E894" s="40"/>
      <c r="F894" s="40"/>
      <c r="G894" s="40"/>
      <c r="H894" s="40"/>
      <c r="I894" s="65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</row>
    <row r="895" spans="1:54" ht="14.25" customHeight="1">
      <c r="A895" s="65"/>
      <c r="B895" s="40"/>
      <c r="C895" s="40"/>
      <c r="D895" s="65"/>
      <c r="E895" s="40"/>
      <c r="F895" s="40"/>
      <c r="G895" s="40"/>
      <c r="H895" s="40"/>
      <c r="I895" s="65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</row>
    <row r="896" spans="1:54" ht="14.25" customHeight="1">
      <c r="A896" s="65"/>
      <c r="B896" s="40"/>
      <c r="C896" s="40"/>
      <c r="D896" s="65"/>
      <c r="E896" s="40"/>
      <c r="F896" s="40"/>
      <c r="G896" s="40"/>
      <c r="H896" s="40"/>
      <c r="I896" s="65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</row>
    <row r="897" spans="1:54" ht="14.25" customHeight="1">
      <c r="A897" s="65"/>
      <c r="B897" s="40"/>
      <c r="C897" s="40"/>
      <c r="D897" s="65"/>
      <c r="E897" s="40"/>
      <c r="F897" s="40"/>
      <c r="G897" s="40"/>
      <c r="H897" s="40"/>
      <c r="I897" s="65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</row>
    <row r="898" spans="1:54" ht="14.25" customHeight="1">
      <c r="A898" s="65"/>
      <c r="B898" s="40"/>
      <c r="C898" s="40"/>
      <c r="D898" s="65"/>
      <c r="E898" s="40"/>
      <c r="F898" s="40"/>
      <c r="G898" s="40"/>
      <c r="H898" s="40"/>
      <c r="I898" s="65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</row>
    <row r="899" spans="1:54" ht="14.25" customHeight="1">
      <c r="A899" s="65"/>
      <c r="B899" s="40"/>
      <c r="C899" s="40"/>
      <c r="D899" s="65"/>
      <c r="E899" s="40"/>
      <c r="F899" s="40"/>
      <c r="G899" s="40"/>
      <c r="H899" s="40"/>
      <c r="I899" s="65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</row>
    <row r="900" spans="1:54" ht="14.25" customHeight="1">
      <c r="A900" s="65"/>
      <c r="B900" s="40"/>
      <c r="C900" s="40"/>
      <c r="D900" s="65"/>
      <c r="E900" s="40"/>
      <c r="F900" s="40"/>
      <c r="G900" s="40"/>
      <c r="H900" s="40"/>
      <c r="I900" s="65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</row>
    <row r="901" spans="1:54" ht="14.25" customHeight="1">
      <c r="A901" s="65"/>
      <c r="B901" s="40"/>
      <c r="C901" s="40"/>
      <c r="D901" s="65"/>
      <c r="E901" s="40"/>
      <c r="F901" s="40"/>
      <c r="G901" s="40"/>
      <c r="H901" s="40"/>
      <c r="I901" s="65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</row>
    <row r="902" spans="1:54" ht="14.25" customHeight="1">
      <c r="A902" s="65"/>
      <c r="B902" s="40"/>
      <c r="C902" s="40"/>
      <c r="D902" s="65"/>
      <c r="E902" s="40"/>
      <c r="F902" s="40"/>
      <c r="G902" s="40"/>
      <c r="H902" s="40"/>
      <c r="I902" s="65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</row>
    <row r="903" spans="1:54" ht="14.25" customHeight="1">
      <c r="A903" s="65"/>
      <c r="B903" s="40"/>
      <c r="C903" s="40"/>
      <c r="D903" s="65"/>
      <c r="E903" s="40"/>
      <c r="F903" s="40"/>
      <c r="G903" s="40"/>
      <c r="H903" s="40"/>
      <c r="I903" s="65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</row>
    <row r="904" spans="1:54" ht="14.25" customHeight="1">
      <c r="A904" s="65"/>
      <c r="B904" s="40"/>
      <c r="C904" s="40"/>
      <c r="D904" s="65"/>
      <c r="E904" s="40"/>
      <c r="F904" s="40"/>
      <c r="G904" s="40"/>
      <c r="H904" s="40"/>
      <c r="I904" s="65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</row>
    <row r="905" spans="1:54" ht="14.25" customHeight="1">
      <c r="A905" s="65"/>
      <c r="B905" s="40"/>
      <c r="C905" s="40"/>
      <c r="D905" s="65"/>
      <c r="E905" s="40"/>
      <c r="F905" s="40"/>
      <c r="G905" s="40"/>
      <c r="H905" s="40"/>
      <c r="I905" s="65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</row>
    <row r="906" spans="1:54" ht="14.25" customHeight="1">
      <c r="A906" s="65"/>
      <c r="B906" s="40"/>
      <c r="C906" s="40"/>
      <c r="D906" s="65"/>
      <c r="E906" s="40"/>
      <c r="F906" s="40"/>
      <c r="G906" s="40"/>
      <c r="H906" s="40"/>
      <c r="I906" s="65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</row>
    <row r="907" spans="1:54" ht="14.25" customHeight="1">
      <c r="A907" s="65"/>
      <c r="B907" s="40"/>
      <c r="C907" s="40"/>
      <c r="D907" s="65"/>
      <c r="E907" s="40"/>
      <c r="F907" s="40"/>
      <c r="G907" s="40"/>
      <c r="H907" s="40"/>
      <c r="I907" s="65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</row>
    <row r="908" spans="1:54" ht="14.25" customHeight="1">
      <c r="A908" s="65"/>
      <c r="B908" s="40"/>
      <c r="C908" s="40"/>
      <c r="D908" s="65"/>
      <c r="E908" s="40"/>
      <c r="F908" s="40"/>
      <c r="G908" s="40"/>
      <c r="H908" s="40"/>
      <c r="I908" s="65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</row>
    <row r="909" spans="1:54" ht="14.25" customHeight="1">
      <c r="A909" s="65"/>
      <c r="B909" s="40"/>
      <c r="C909" s="40"/>
      <c r="D909" s="65"/>
      <c r="E909" s="40"/>
      <c r="F909" s="40"/>
      <c r="G909" s="40"/>
      <c r="H909" s="40"/>
      <c r="I909" s="65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</row>
    <row r="910" spans="1:54" ht="14.25" customHeight="1">
      <c r="A910" s="65"/>
      <c r="B910" s="40"/>
      <c r="C910" s="40"/>
      <c r="D910" s="65"/>
      <c r="E910" s="40"/>
      <c r="F910" s="40"/>
      <c r="G910" s="40"/>
      <c r="H910" s="40"/>
      <c r="I910" s="65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</row>
    <row r="911" spans="1:54" ht="14.25" customHeight="1">
      <c r="A911" s="65"/>
      <c r="B911" s="40"/>
      <c r="C911" s="40"/>
      <c r="D911" s="65"/>
      <c r="E911" s="40"/>
      <c r="F911" s="40"/>
      <c r="G911" s="40"/>
      <c r="H911" s="40"/>
      <c r="I911" s="65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</row>
    <row r="912" spans="1:54" ht="14.25" customHeight="1">
      <c r="A912" s="65"/>
      <c r="B912" s="40"/>
      <c r="C912" s="40"/>
      <c r="D912" s="65"/>
      <c r="E912" s="40"/>
      <c r="F912" s="40"/>
      <c r="G912" s="40"/>
      <c r="H912" s="40"/>
      <c r="I912" s="65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</row>
    <row r="913" spans="1:54" ht="14.25" customHeight="1">
      <c r="A913" s="65"/>
      <c r="B913" s="40"/>
      <c r="C913" s="40"/>
      <c r="D913" s="65"/>
      <c r="E913" s="40"/>
      <c r="F913" s="40"/>
      <c r="G913" s="40"/>
      <c r="H913" s="40"/>
      <c r="I913" s="65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</row>
    <row r="914" spans="1:54" ht="14.25" customHeight="1">
      <c r="A914" s="65"/>
      <c r="B914" s="40"/>
      <c r="C914" s="40"/>
      <c r="D914" s="65"/>
      <c r="E914" s="40"/>
      <c r="F914" s="40"/>
      <c r="G914" s="40"/>
      <c r="H914" s="40"/>
      <c r="I914" s="65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</row>
    <row r="915" spans="1:54" ht="14.25" customHeight="1">
      <c r="A915" s="65"/>
      <c r="B915" s="40"/>
      <c r="C915" s="40"/>
      <c r="D915" s="65"/>
      <c r="E915" s="40"/>
      <c r="F915" s="40"/>
      <c r="G915" s="40"/>
      <c r="H915" s="40"/>
      <c r="I915" s="65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</row>
    <row r="916" spans="1:54" ht="14.25" customHeight="1">
      <c r="A916" s="65"/>
      <c r="B916" s="40"/>
      <c r="C916" s="40"/>
      <c r="D916" s="65"/>
      <c r="E916" s="40"/>
      <c r="F916" s="40"/>
      <c r="G916" s="40"/>
      <c r="H916" s="40"/>
      <c r="I916" s="65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</row>
    <row r="917" spans="1:54" ht="14.25" customHeight="1">
      <c r="A917" s="65"/>
      <c r="B917" s="40"/>
      <c r="C917" s="40"/>
      <c r="D917" s="65"/>
      <c r="E917" s="40"/>
      <c r="F917" s="40"/>
      <c r="G917" s="40"/>
      <c r="H917" s="40"/>
      <c r="I917" s="65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</row>
    <row r="918" spans="1:54" ht="14.25" customHeight="1">
      <c r="A918" s="65"/>
      <c r="B918" s="40"/>
      <c r="C918" s="40"/>
      <c r="D918" s="65"/>
      <c r="E918" s="40"/>
      <c r="F918" s="40"/>
      <c r="G918" s="40"/>
      <c r="H918" s="40"/>
      <c r="I918" s="65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</row>
    <row r="919" spans="1:54" ht="14.25" customHeight="1">
      <c r="A919" s="65"/>
      <c r="B919" s="40"/>
      <c r="C919" s="40"/>
      <c r="D919" s="65"/>
      <c r="E919" s="40"/>
      <c r="F919" s="40"/>
      <c r="G919" s="40"/>
      <c r="H919" s="40"/>
      <c r="I919" s="65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</row>
    <row r="920" spans="1:54" ht="14.25" customHeight="1">
      <c r="A920" s="65"/>
      <c r="B920" s="40"/>
      <c r="C920" s="40"/>
      <c r="D920" s="65"/>
      <c r="E920" s="40"/>
      <c r="F920" s="40"/>
      <c r="G920" s="40"/>
      <c r="H920" s="40"/>
      <c r="I920" s="65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</row>
    <row r="921" spans="1:54" ht="14.25" customHeight="1">
      <c r="A921" s="65"/>
      <c r="B921" s="40"/>
      <c r="C921" s="40"/>
      <c r="D921" s="65"/>
      <c r="E921" s="40"/>
      <c r="F921" s="40"/>
      <c r="G921" s="40"/>
      <c r="H921" s="40"/>
      <c r="I921" s="65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</row>
    <row r="922" spans="1:54" ht="14.25" customHeight="1">
      <c r="A922" s="65"/>
      <c r="B922" s="40"/>
      <c r="C922" s="40"/>
      <c r="D922" s="65"/>
      <c r="E922" s="40"/>
      <c r="F922" s="40"/>
      <c r="G922" s="40"/>
      <c r="H922" s="40"/>
      <c r="I922" s="65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</row>
    <row r="923" spans="1:54" ht="14.25" customHeight="1">
      <c r="A923" s="65"/>
      <c r="B923" s="40"/>
      <c r="C923" s="40"/>
      <c r="D923" s="65"/>
      <c r="E923" s="40"/>
      <c r="F923" s="40"/>
      <c r="G923" s="40"/>
      <c r="H923" s="40"/>
      <c r="I923" s="65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</row>
    <row r="924" spans="1:54" ht="14.25" customHeight="1">
      <c r="A924" s="65"/>
      <c r="B924" s="40"/>
      <c r="C924" s="40"/>
      <c r="D924" s="65"/>
      <c r="E924" s="40"/>
      <c r="F924" s="40"/>
      <c r="G924" s="40"/>
      <c r="H924" s="40"/>
      <c r="I924" s="65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</row>
    <row r="925" spans="1:54" ht="14.25" customHeight="1">
      <c r="A925" s="65"/>
      <c r="B925" s="40"/>
      <c r="C925" s="40"/>
      <c r="D925" s="65"/>
      <c r="E925" s="40"/>
      <c r="F925" s="40"/>
      <c r="G925" s="40"/>
      <c r="H925" s="40"/>
      <c r="I925" s="65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</row>
    <row r="926" spans="1:54" ht="14.25" customHeight="1">
      <c r="A926" s="65"/>
      <c r="B926" s="40"/>
      <c r="C926" s="40"/>
      <c r="D926" s="65"/>
      <c r="E926" s="40"/>
      <c r="F926" s="40"/>
      <c r="G926" s="40"/>
      <c r="H926" s="40"/>
      <c r="I926" s="65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</row>
    <row r="927" spans="1:54" ht="14.25" customHeight="1">
      <c r="A927" s="65"/>
      <c r="B927" s="40"/>
      <c r="C927" s="40"/>
      <c r="D927" s="65"/>
      <c r="E927" s="40"/>
      <c r="F927" s="40"/>
      <c r="G927" s="40"/>
      <c r="H927" s="40"/>
      <c r="I927" s="65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</row>
    <row r="928" spans="1:54" ht="14.25" customHeight="1">
      <c r="A928" s="65"/>
      <c r="B928" s="40"/>
      <c r="C928" s="40"/>
      <c r="D928" s="65"/>
      <c r="E928" s="40"/>
      <c r="F928" s="40"/>
      <c r="G928" s="40"/>
      <c r="H928" s="40"/>
      <c r="I928" s="65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</row>
    <row r="929" spans="1:54" ht="14.25" customHeight="1">
      <c r="A929" s="65"/>
      <c r="B929" s="40"/>
      <c r="C929" s="40"/>
      <c r="D929" s="65"/>
      <c r="E929" s="40"/>
      <c r="F929" s="40"/>
      <c r="G929" s="40"/>
      <c r="H929" s="40"/>
      <c r="I929" s="65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</row>
    <row r="930" spans="1:54" ht="14.25" customHeight="1">
      <c r="A930" s="65"/>
      <c r="B930" s="40"/>
      <c r="C930" s="40"/>
      <c r="D930" s="65"/>
      <c r="E930" s="40"/>
      <c r="F930" s="40"/>
      <c r="G930" s="40"/>
      <c r="H930" s="40"/>
      <c r="I930" s="65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</row>
    <row r="931" spans="1:54" ht="14.25" customHeight="1">
      <c r="A931" s="65"/>
      <c r="B931" s="40"/>
      <c r="C931" s="40"/>
      <c r="D931" s="65"/>
      <c r="E931" s="40"/>
      <c r="F931" s="40"/>
      <c r="G931" s="40"/>
      <c r="H931" s="40"/>
      <c r="I931" s="65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</row>
    <row r="932" spans="1:54" ht="14.25" customHeight="1">
      <c r="A932" s="65"/>
      <c r="B932" s="40"/>
      <c r="C932" s="40"/>
      <c r="D932" s="65"/>
      <c r="E932" s="40"/>
      <c r="F932" s="40"/>
      <c r="G932" s="40"/>
      <c r="H932" s="40"/>
      <c r="I932" s="65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</row>
    <row r="933" spans="1:54" ht="14.25" customHeight="1">
      <c r="A933" s="65"/>
      <c r="B933" s="40"/>
      <c r="C933" s="40"/>
      <c r="D933" s="65"/>
      <c r="E933" s="40"/>
      <c r="F933" s="40"/>
      <c r="G933" s="40"/>
      <c r="H933" s="40"/>
      <c r="I933" s="65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</row>
    <row r="934" spans="1:54" ht="14.25" customHeight="1">
      <c r="A934" s="65"/>
      <c r="B934" s="40"/>
      <c r="C934" s="40"/>
      <c r="D934" s="65"/>
      <c r="E934" s="40"/>
      <c r="F934" s="40"/>
      <c r="G934" s="40"/>
      <c r="H934" s="40"/>
      <c r="I934" s="65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</row>
    <row r="935" spans="1:54" ht="14.25" customHeight="1">
      <c r="A935" s="65"/>
      <c r="B935" s="40"/>
      <c r="C935" s="40"/>
      <c r="D935" s="65"/>
      <c r="E935" s="40"/>
      <c r="F935" s="40"/>
      <c r="G935" s="40"/>
      <c r="H935" s="40"/>
      <c r="I935" s="65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</row>
    <row r="936" spans="1:54" ht="14.25" customHeight="1">
      <c r="A936" s="65"/>
      <c r="B936" s="40"/>
      <c r="C936" s="40"/>
      <c r="D936" s="65"/>
      <c r="E936" s="40"/>
      <c r="F936" s="40"/>
      <c r="G936" s="40"/>
      <c r="H936" s="40"/>
      <c r="I936" s="65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</row>
    <row r="937" spans="1:54" ht="14.25" customHeight="1">
      <c r="A937" s="65"/>
      <c r="B937" s="40"/>
      <c r="C937" s="40"/>
      <c r="D937" s="65"/>
      <c r="E937" s="40"/>
      <c r="F937" s="40"/>
      <c r="G937" s="40"/>
      <c r="H937" s="40"/>
      <c r="I937" s="65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</row>
    <row r="938" spans="1:54" ht="14.25" customHeight="1">
      <c r="A938" s="65"/>
      <c r="B938" s="40"/>
      <c r="C938" s="40"/>
      <c r="D938" s="65"/>
      <c r="E938" s="40"/>
      <c r="F938" s="40"/>
      <c r="G938" s="40"/>
      <c r="H938" s="40"/>
      <c r="I938" s="65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</row>
    <row r="939" spans="1:54" ht="14.25" customHeight="1">
      <c r="A939" s="65"/>
      <c r="B939" s="40"/>
      <c r="C939" s="40"/>
      <c r="D939" s="65"/>
      <c r="E939" s="40"/>
      <c r="F939" s="40"/>
      <c r="G939" s="40"/>
      <c r="H939" s="40"/>
      <c r="I939" s="65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</row>
    <row r="940" spans="1:54" ht="14.25" customHeight="1">
      <c r="A940" s="65"/>
      <c r="B940" s="40"/>
      <c r="C940" s="40"/>
      <c r="D940" s="65"/>
      <c r="E940" s="40"/>
      <c r="F940" s="40"/>
      <c r="G940" s="40"/>
      <c r="H940" s="40"/>
      <c r="I940" s="65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</row>
    <row r="941" spans="1:54" ht="14.25" customHeight="1">
      <c r="A941" s="65"/>
      <c r="B941" s="40"/>
      <c r="C941" s="40"/>
      <c r="D941" s="65"/>
      <c r="E941" s="40"/>
      <c r="F941" s="40"/>
      <c r="G941" s="40"/>
      <c r="H941" s="40"/>
      <c r="I941" s="65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</row>
    <row r="942" spans="1:54" ht="14.25" customHeight="1">
      <c r="A942" s="65"/>
      <c r="B942" s="40"/>
      <c r="C942" s="40"/>
      <c r="D942" s="65"/>
      <c r="E942" s="40"/>
      <c r="F942" s="40"/>
      <c r="G942" s="40"/>
      <c r="H942" s="40"/>
      <c r="I942" s="65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</row>
    <row r="943" spans="1:54" ht="14.25" customHeight="1">
      <c r="A943" s="65"/>
      <c r="B943" s="40"/>
      <c r="C943" s="40"/>
      <c r="D943" s="65"/>
      <c r="E943" s="40"/>
      <c r="F943" s="40"/>
      <c r="G943" s="40"/>
      <c r="H943" s="40"/>
      <c r="I943" s="65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</row>
    <row r="944" spans="1:54" ht="14.25" customHeight="1">
      <c r="A944" s="65"/>
      <c r="B944" s="40"/>
      <c r="C944" s="40"/>
      <c r="D944" s="65"/>
      <c r="E944" s="40"/>
      <c r="F944" s="40"/>
      <c r="G944" s="40"/>
      <c r="H944" s="40"/>
      <c r="I944" s="65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</row>
    <row r="945" spans="1:54" ht="14.25" customHeight="1">
      <c r="A945" s="65"/>
      <c r="B945" s="40"/>
      <c r="C945" s="40"/>
      <c r="D945" s="65"/>
      <c r="E945" s="40"/>
      <c r="F945" s="40"/>
      <c r="G945" s="40"/>
      <c r="H945" s="40"/>
      <c r="I945" s="65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</row>
    <row r="946" spans="1:54" ht="14.25" customHeight="1">
      <c r="A946" s="65"/>
      <c r="B946" s="40"/>
      <c r="C946" s="40"/>
      <c r="D946" s="65"/>
      <c r="E946" s="40"/>
      <c r="F946" s="40"/>
      <c r="G946" s="40"/>
      <c r="H946" s="40"/>
      <c r="I946" s="65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</row>
    <row r="947" spans="1:54" ht="14.25" customHeight="1">
      <c r="A947" s="65"/>
      <c r="B947" s="40"/>
      <c r="C947" s="40"/>
      <c r="D947" s="65"/>
      <c r="E947" s="40"/>
      <c r="F947" s="40"/>
      <c r="G947" s="40"/>
      <c r="H947" s="40"/>
      <c r="I947" s="65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</row>
    <row r="948" spans="1:54" ht="14.25" customHeight="1">
      <c r="A948" s="65"/>
      <c r="B948" s="40"/>
      <c r="C948" s="40"/>
      <c r="D948" s="65"/>
      <c r="E948" s="40"/>
      <c r="F948" s="40"/>
      <c r="G948" s="40"/>
      <c r="H948" s="40"/>
      <c r="I948" s="65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</row>
    <row r="949" spans="1:54" ht="14.25" customHeight="1">
      <c r="A949" s="65"/>
      <c r="B949" s="40"/>
      <c r="C949" s="40"/>
      <c r="D949" s="65"/>
      <c r="E949" s="40"/>
      <c r="F949" s="40"/>
      <c r="G949" s="40"/>
      <c r="H949" s="40"/>
      <c r="I949" s="65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</row>
    <row r="950" spans="1:54" ht="14.25" customHeight="1">
      <c r="A950" s="65"/>
      <c r="B950" s="40"/>
      <c r="C950" s="40"/>
      <c r="D950" s="65"/>
      <c r="E950" s="40"/>
      <c r="F950" s="40"/>
      <c r="G950" s="40"/>
      <c r="H950" s="40"/>
      <c r="I950" s="65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</row>
    <row r="951" spans="1:54" ht="14.25" customHeight="1">
      <c r="A951" s="65"/>
      <c r="B951" s="40"/>
      <c r="C951" s="40"/>
      <c r="D951" s="65"/>
      <c r="E951" s="40"/>
      <c r="F951" s="40"/>
      <c r="G951" s="40"/>
      <c r="H951" s="40"/>
      <c r="I951" s="65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</row>
    <row r="952" spans="1:54" ht="14.25" customHeight="1">
      <c r="A952" s="65"/>
      <c r="B952" s="40"/>
      <c r="C952" s="40"/>
      <c r="D952" s="65"/>
      <c r="E952" s="40"/>
      <c r="F952" s="40"/>
      <c r="G952" s="40"/>
      <c r="H952" s="40"/>
      <c r="I952" s="65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</row>
    <row r="953" spans="1:54" ht="14.25" customHeight="1">
      <c r="A953" s="65"/>
      <c r="B953" s="40"/>
      <c r="C953" s="40"/>
      <c r="D953" s="65"/>
      <c r="E953" s="40"/>
      <c r="F953" s="40"/>
      <c r="G953" s="40"/>
      <c r="H953" s="40"/>
      <c r="I953" s="65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</row>
    <row r="954" spans="1:54" ht="14.25" customHeight="1">
      <c r="A954" s="65"/>
      <c r="B954" s="40"/>
      <c r="C954" s="40"/>
      <c r="D954" s="65"/>
      <c r="E954" s="40"/>
      <c r="F954" s="40"/>
      <c r="G954" s="40"/>
      <c r="H954" s="40"/>
      <c r="I954" s="65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</row>
    <row r="955" spans="1:54" ht="14.25" customHeight="1">
      <c r="A955" s="65"/>
      <c r="B955" s="40"/>
      <c r="C955" s="40"/>
      <c r="D955" s="65"/>
      <c r="E955" s="40"/>
      <c r="F955" s="40"/>
      <c r="G955" s="40"/>
      <c r="H955" s="40"/>
      <c r="I955" s="65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</row>
    <row r="956" spans="1:54" ht="14.25" customHeight="1">
      <c r="A956" s="65"/>
      <c r="B956" s="40"/>
      <c r="C956" s="40"/>
      <c r="D956" s="65"/>
      <c r="E956" s="40"/>
      <c r="F956" s="40"/>
      <c r="G956" s="40"/>
      <c r="H956" s="40"/>
      <c r="I956" s="65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</row>
    <row r="957" spans="1:54" ht="14.25" customHeight="1">
      <c r="A957" s="65"/>
      <c r="B957" s="40"/>
      <c r="C957" s="40"/>
      <c r="D957" s="65"/>
      <c r="E957" s="40"/>
      <c r="F957" s="40"/>
      <c r="G957" s="40"/>
      <c r="H957" s="40"/>
      <c r="I957" s="65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</row>
    <row r="958" spans="1:54" ht="14.25" customHeight="1">
      <c r="A958" s="65"/>
      <c r="B958" s="40"/>
      <c r="C958" s="40"/>
      <c r="D958" s="65"/>
      <c r="E958" s="40"/>
      <c r="F958" s="40"/>
      <c r="G958" s="40"/>
      <c r="H958" s="40"/>
      <c r="I958" s="65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</row>
    <row r="959" spans="1:54" ht="14.25" customHeight="1">
      <c r="A959" s="65"/>
      <c r="B959" s="40"/>
      <c r="C959" s="40"/>
      <c r="D959" s="65"/>
      <c r="E959" s="40"/>
      <c r="F959" s="40"/>
      <c r="G959" s="40"/>
      <c r="H959" s="40"/>
      <c r="I959" s="65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</row>
    <row r="960" spans="1:54" ht="14.25" customHeight="1">
      <c r="A960" s="65"/>
      <c r="B960" s="40"/>
      <c r="C960" s="40"/>
      <c r="D960" s="65"/>
      <c r="E960" s="40"/>
      <c r="F960" s="40"/>
      <c r="G960" s="40"/>
      <c r="H960" s="40"/>
      <c r="I960" s="65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</row>
    <row r="961" spans="1:54" ht="14.25" customHeight="1">
      <c r="A961" s="65"/>
      <c r="B961" s="40"/>
      <c r="C961" s="40"/>
      <c r="D961" s="65"/>
      <c r="E961" s="40"/>
      <c r="F961" s="40"/>
      <c r="G961" s="40"/>
      <c r="H961" s="40"/>
      <c r="I961" s="65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</row>
    <row r="962" spans="1:54" ht="14.25" customHeight="1">
      <c r="A962" s="65"/>
      <c r="B962" s="40"/>
      <c r="C962" s="40"/>
      <c r="D962" s="65"/>
      <c r="E962" s="40"/>
      <c r="F962" s="40"/>
      <c r="G962" s="40"/>
      <c r="H962" s="40"/>
      <c r="I962" s="65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</row>
    <row r="963" spans="1:54" ht="14.25" customHeight="1">
      <c r="A963" s="65"/>
      <c r="B963" s="40"/>
      <c r="C963" s="40"/>
      <c r="D963" s="65"/>
      <c r="E963" s="40"/>
      <c r="F963" s="40"/>
      <c r="G963" s="40"/>
      <c r="H963" s="40"/>
      <c r="I963" s="65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</row>
    <row r="964" spans="1:54" ht="14.25" customHeight="1">
      <c r="A964" s="65"/>
      <c r="B964" s="40"/>
      <c r="C964" s="40"/>
      <c r="D964" s="65"/>
      <c r="E964" s="40"/>
      <c r="F964" s="40"/>
      <c r="G964" s="40"/>
      <c r="H964" s="40"/>
      <c r="I964" s="65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</row>
    <row r="965" spans="1:54" ht="14.25" customHeight="1">
      <c r="A965" s="65"/>
      <c r="B965" s="40"/>
      <c r="C965" s="40"/>
      <c r="D965" s="65"/>
      <c r="E965" s="40"/>
      <c r="F965" s="40"/>
      <c r="G965" s="40"/>
      <c r="H965" s="40"/>
      <c r="I965" s="65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</row>
    <row r="966" spans="1:54" ht="14.25" customHeight="1">
      <c r="A966" s="65"/>
      <c r="B966" s="40"/>
      <c r="C966" s="40"/>
      <c r="D966" s="65"/>
      <c r="E966" s="40"/>
      <c r="F966" s="40"/>
      <c r="G966" s="40"/>
      <c r="H966" s="40"/>
      <c r="I966" s="65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</row>
    <row r="967" spans="1:54" ht="14.25" customHeight="1">
      <c r="A967" s="65"/>
      <c r="B967" s="40"/>
      <c r="C967" s="40"/>
      <c r="D967" s="65"/>
      <c r="E967" s="40"/>
      <c r="F967" s="40"/>
      <c r="G967" s="40"/>
      <c r="H967" s="40"/>
      <c r="I967" s="65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</row>
    <row r="968" spans="1:54" ht="14.25" customHeight="1">
      <c r="A968" s="65"/>
      <c r="B968" s="40"/>
      <c r="C968" s="40"/>
      <c r="D968" s="65"/>
      <c r="E968" s="40"/>
      <c r="F968" s="40"/>
      <c r="G968" s="40"/>
      <c r="H968" s="40"/>
      <c r="I968" s="65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</row>
    <row r="969" spans="1:54" ht="14.25" customHeight="1">
      <c r="A969" s="65"/>
      <c r="B969" s="40"/>
      <c r="C969" s="40"/>
      <c r="D969" s="65"/>
      <c r="E969" s="40"/>
      <c r="F969" s="40"/>
      <c r="G969" s="40"/>
      <c r="H969" s="40"/>
      <c r="I969" s="65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</row>
    <row r="970" spans="1:54" ht="14.25" customHeight="1">
      <c r="A970" s="65"/>
      <c r="B970" s="40"/>
      <c r="C970" s="40"/>
      <c r="D970" s="65"/>
      <c r="E970" s="40"/>
      <c r="F970" s="40"/>
      <c r="G970" s="40"/>
      <c r="H970" s="40"/>
      <c r="I970" s="65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</row>
    <row r="971" spans="1:54" ht="14.25" customHeight="1">
      <c r="A971" s="65"/>
      <c r="B971" s="40"/>
      <c r="C971" s="40"/>
      <c r="D971" s="65"/>
      <c r="E971" s="40"/>
      <c r="F971" s="40"/>
      <c r="G971" s="40"/>
      <c r="H971" s="40"/>
      <c r="I971" s="65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</row>
    <row r="972" spans="1:54" ht="14.25" customHeight="1">
      <c r="A972" s="65"/>
      <c r="B972" s="40"/>
      <c r="C972" s="40"/>
      <c r="D972" s="65"/>
      <c r="E972" s="40"/>
      <c r="F972" s="40"/>
      <c r="G972" s="40"/>
      <c r="H972" s="40"/>
      <c r="I972" s="65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</row>
    <row r="973" spans="1:54" ht="14.25" customHeight="1">
      <c r="A973" s="65"/>
      <c r="B973" s="40"/>
      <c r="C973" s="40"/>
      <c r="D973" s="65"/>
      <c r="E973" s="40"/>
      <c r="F973" s="40"/>
      <c r="G973" s="40"/>
      <c r="H973" s="40"/>
      <c r="I973" s="65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</row>
    <row r="974" spans="1:54" ht="14.25" customHeight="1">
      <c r="A974" s="65"/>
      <c r="B974" s="40"/>
      <c r="C974" s="40"/>
      <c r="D974" s="65"/>
      <c r="E974" s="40"/>
      <c r="F974" s="40"/>
      <c r="G974" s="40"/>
      <c r="H974" s="40"/>
      <c r="I974" s="65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</row>
    <row r="975" spans="1:54" ht="14.25" customHeight="1">
      <c r="A975" s="65"/>
      <c r="B975" s="40"/>
      <c r="C975" s="40"/>
      <c r="D975" s="65"/>
      <c r="E975" s="40"/>
      <c r="F975" s="40"/>
      <c r="G975" s="40"/>
      <c r="H975" s="40"/>
      <c r="I975" s="65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</row>
    <row r="976" spans="1:54" ht="14.25" customHeight="1">
      <c r="A976" s="65"/>
      <c r="B976" s="40"/>
      <c r="C976" s="40"/>
      <c r="D976" s="65"/>
      <c r="E976" s="40"/>
      <c r="F976" s="40"/>
      <c r="G976" s="40"/>
      <c r="H976" s="40"/>
      <c r="I976" s="65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</row>
    <row r="977" spans="1:54" ht="14.25" customHeight="1">
      <c r="A977" s="65"/>
      <c r="B977" s="40"/>
      <c r="C977" s="40"/>
      <c r="D977" s="65"/>
      <c r="E977" s="40"/>
      <c r="F977" s="40"/>
      <c r="G977" s="40"/>
      <c r="H977" s="40"/>
      <c r="I977" s="65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</row>
    <row r="978" spans="1:54" ht="14.25" customHeight="1">
      <c r="A978" s="65"/>
      <c r="B978" s="40"/>
      <c r="C978" s="40"/>
      <c r="D978" s="65"/>
      <c r="E978" s="40"/>
      <c r="F978" s="40"/>
      <c r="G978" s="40"/>
      <c r="H978" s="40"/>
      <c r="I978" s="65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</row>
    <row r="979" spans="1:54" ht="14.25" customHeight="1">
      <c r="A979" s="65"/>
      <c r="B979" s="40"/>
      <c r="C979" s="40"/>
      <c r="D979" s="65"/>
      <c r="E979" s="40"/>
      <c r="F979" s="40"/>
      <c r="G979" s="40"/>
      <c r="H979" s="40"/>
      <c r="I979" s="65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</row>
    <row r="980" spans="1:54" ht="14.25" customHeight="1">
      <c r="A980" s="65"/>
      <c r="B980" s="40"/>
      <c r="C980" s="40"/>
      <c r="D980" s="65"/>
      <c r="E980" s="40"/>
      <c r="F980" s="40"/>
      <c r="G980" s="40"/>
      <c r="H980" s="40"/>
      <c r="I980" s="65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</row>
    <row r="981" spans="1:54" ht="14.25" customHeight="1">
      <c r="A981" s="65"/>
      <c r="B981" s="40"/>
      <c r="C981" s="40"/>
      <c r="D981" s="65"/>
      <c r="E981" s="40"/>
      <c r="F981" s="40"/>
      <c r="G981" s="40"/>
      <c r="H981" s="40"/>
      <c r="I981" s="65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</row>
    <row r="982" spans="1:54" ht="14.25" customHeight="1">
      <c r="A982" s="65"/>
      <c r="B982" s="40"/>
      <c r="C982" s="40"/>
      <c r="D982" s="65"/>
      <c r="E982" s="40"/>
      <c r="F982" s="40"/>
      <c r="G982" s="40"/>
      <c r="H982" s="40"/>
      <c r="I982" s="65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</row>
    <row r="983" spans="1:54" ht="14.25" customHeight="1">
      <c r="A983" s="65"/>
      <c r="B983" s="40"/>
      <c r="C983" s="40"/>
      <c r="D983" s="65"/>
      <c r="E983" s="40"/>
      <c r="F983" s="40"/>
      <c r="G983" s="40"/>
      <c r="H983" s="40"/>
      <c r="I983" s="65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</row>
    <row r="984" spans="1:54" ht="14.25" customHeight="1">
      <c r="A984" s="65"/>
      <c r="B984" s="40"/>
      <c r="C984" s="40"/>
      <c r="D984" s="65"/>
      <c r="E984" s="40"/>
      <c r="F984" s="40"/>
      <c r="G984" s="40"/>
      <c r="H984" s="40"/>
      <c r="I984" s="65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</row>
    <row r="985" spans="1:54" ht="14.25" customHeight="1">
      <c r="A985" s="65"/>
      <c r="B985" s="40"/>
      <c r="C985" s="40"/>
      <c r="D985" s="65"/>
      <c r="E985" s="40"/>
      <c r="F985" s="40"/>
      <c r="G985" s="40"/>
      <c r="H985" s="40"/>
      <c r="I985" s="65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</row>
    <row r="986" spans="1:54" ht="14.25" customHeight="1">
      <c r="A986" s="65"/>
      <c r="B986" s="40"/>
      <c r="C986" s="40"/>
      <c r="D986" s="65"/>
      <c r="E986" s="40"/>
      <c r="F986" s="40"/>
      <c r="G986" s="40"/>
      <c r="H986" s="40"/>
      <c r="I986" s="65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</row>
    <row r="987" spans="1:54" ht="14.25" customHeight="1">
      <c r="A987" s="65"/>
      <c r="B987" s="40"/>
      <c r="C987" s="40"/>
      <c r="D987" s="65"/>
      <c r="E987" s="40"/>
      <c r="F987" s="40"/>
      <c r="G987" s="40"/>
      <c r="H987" s="40"/>
      <c r="I987" s="65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</row>
    <row r="988" spans="1:54" ht="14.25" customHeight="1">
      <c r="A988" s="65"/>
      <c r="B988" s="40"/>
      <c r="C988" s="40"/>
      <c r="D988" s="65"/>
      <c r="E988" s="40"/>
      <c r="F988" s="40"/>
      <c r="G988" s="40"/>
      <c r="H988" s="40"/>
      <c r="I988" s="65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</row>
    <row r="989" spans="1:54" ht="14.25" customHeight="1">
      <c r="A989" s="65"/>
      <c r="B989" s="40"/>
      <c r="C989" s="40"/>
      <c r="D989" s="65"/>
      <c r="E989" s="40"/>
      <c r="F989" s="40"/>
      <c r="G989" s="40"/>
      <c r="H989" s="40"/>
      <c r="I989" s="65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</row>
    <row r="990" spans="1:54" ht="14.25" customHeight="1">
      <c r="A990" s="65"/>
      <c r="B990" s="40"/>
      <c r="C990" s="40"/>
      <c r="D990" s="65"/>
      <c r="E990" s="40"/>
      <c r="F990" s="40"/>
      <c r="G990" s="40"/>
      <c r="H990" s="40"/>
      <c r="I990" s="65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</row>
    <row r="991" spans="1:54" ht="14.25" customHeight="1">
      <c r="A991" s="65"/>
      <c r="B991" s="40"/>
      <c r="C991" s="40"/>
      <c r="D991" s="65"/>
      <c r="E991" s="40"/>
      <c r="F991" s="40"/>
      <c r="G991" s="40"/>
      <c r="H991" s="40"/>
      <c r="I991" s="65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</row>
    <row r="992" spans="1:54" ht="14.25" customHeight="1">
      <c r="A992" s="65"/>
      <c r="B992" s="40"/>
      <c r="C992" s="40"/>
      <c r="D992" s="65"/>
      <c r="E992" s="40"/>
      <c r="F992" s="40"/>
      <c r="G992" s="40"/>
      <c r="H992" s="40"/>
      <c r="I992" s="65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</row>
    <row r="993" spans="1:54" ht="14.25" customHeight="1">
      <c r="A993" s="65"/>
      <c r="B993" s="40"/>
      <c r="C993" s="40"/>
      <c r="D993" s="65"/>
      <c r="E993" s="40"/>
      <c r="F993" s="40"/>
      <c r="G993" s="40"/>
      <c r="H993" s="40"/>
      <c r="I993" s="65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</row>
    <row r="994" spans="1:54" ht="14.25" customHeight="1">
      <c r="A994" s="65"/>
      <c r="B994" s="40"/>
      <c r="C994" s="40"/>
      <c r="D994" s="65"/>
      <c r="E994" s="40"/>
      <c r="F994" s="40"/>
      <c r="G994" s="40"/>
      <c r="H994" s="40"/>
      <c r="I994" s="65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</row>
    <row r="995" spans="1:54" ht="14.25" customHeight="1">
      <c r="A995" s="65"/>
      <c r="B995" s="40"/>
      <c r="C995" s="40"/>
      <c r="D995" s="65"/>
      <c r="E995" s="40"/>
      <c r="F995" s="40"/>
      <c r="G995" s="40"/>
      <c r="H995" s="40"/>
      <c r="I995" s="65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</row>
    <row r="996" spans="1:54" ht="14.25" customHeight="1">
      <c r="A996" s="65"/>
      <c r="B996" s="40"/>
      <c r="C996" s="40"/>
      <c r="D996" s="65"/>
      <c r="E996" s="40"/>
      <c r="F996" s="40"/>
      <c r="G996" s="40"/>
      <c r="H996" s="40"/>
      <c r="I996" s="65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</row>
    <row r="997" spans="1:54" ht="14.25" customHeight="1">
      <c r="A997" s="65"/>
      <c r="B997" s="40"/>
      <c r="C997" s="40"/>
      <c r="D997" s="65"/>
      <c r="E997" s="40"/>
      <c r="F997" s="40"/>
      <c r="G997" s="40"/>
      <c r="H997" s="40"/>
      <c r="I997" s="65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</row>
    <row r="998" spans="1:54" ht="14.25" customHeight="1">
      <c r="A998" s="65"/>
      <c r="B998" s="40"/>
      <c r="C998" s="40"/>
      <c r="D998" s="65"/>
      <c r="E998" s="40"/>
      <c r="F998" s="40"/>
      <c r="G998" s="40"/>
      <c r="H998" s="40"/>
      <c r="I998" s="65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</row>
    <row r="999" spans="1:54" ht="14.25" customHeight="1">
      <c r="A999" s="65"/>
      <c r="B999" s="40"/>
      <c r="C999" s="40"/>
      <c r="D999" s="65"/>
      <c r="E999" s="40"/>
      <c r="F999" s="40"/>
      <c r="G999" s="40"/>
      <c r="H999" s="40"/>
      <c r="I999" s="65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</row>
    <row r="1000" spans="1:54" ht="14.25" customHeight="1">
      <c r="A1000" s="65"/>
      <c r="B1000" s="40"/>
      <c r="C1000" s="40"/>
      <c r="D1000" s="65"/>
      <c r="E1000" s="40"/>
      <c r="F1000" s="40"/>
      <c r="G1000" s="40"/>
      <c r="H1000" s="40"/>
      <c r="I1000" s="65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</row>
  </sheetData>
  <mergeCells count="22">
    <mergeCell ref="BY222:CA222"/>
    <mergeCell ref="BI223:BK223"/>
    <mergeCell ref="BQ223:BS223"/>
    <mergeCell ref="BY223:CA223"/>
    <mergeCell ref="X2:AX2"/>
    <mergeCell ref="BM222:BO222"/>
    <mergeCell ref="BM223:BO223"/>
    <mergeCell ref="BU222:BW222"/>
    <mergeCell ref="BU223:BW223"/>
    <mergeCell ref="BI4:BK4"/>
    <mergeCell ref="BM4:BO4"/>
    <mergeCell ref="BI222:BK222"/>
    <mergeCell ref="BQ222:BS222"/>
    <mergeCell ref="BQ4:BS4"/>
    <mergeCell ref="BU4:BW4"/>
    <mergeCell ref="BY4:CA4"/>
    <mergeCell ref="BE4:BF4"/>
    <mergeCell ref="D2:V2"/>
    <mergeCell ref="AJ3:AQ3"/>
    <mergeCell ref="AY4:AZ4"/>
    <mergeCell ref="BA4:BB4"/>
    <mergeCell ref="BC4:BD4"/>
  </mergeCells>
  <printOptions horizontalCentered="1" verticalCentered="1"/>
  <pageMargins left="0.70866141732283472" right="0.70866141732283472" top="0.74803149606299213" bottom="0.74803149606299213" header="0" footer="0"/>
  <pageSetup paperSize="9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0"/>
  <sheetViews>
    <sheetView workbookViewId="0"/>
  </sheetViews>
  <sheetFormatPr defaultColWidth="14.44140625" defaultRowHeight="15" customHeight="1"/>
  <cols>
    <col min="1" max="1" width="11.109375" customWidth="1"/>
    <col min="2" max="2" width="10.6640625" customWidth="1"/>
    <col min="3" max="3" width="17.5546875" customWidth="1"/>
    <col min="4" max="4" width="19.6640625" customWidth="1"/>
    <col min="5" max="8" width="8.6640625" customWidth="1"/>
    <col min="9" max="19" width="8.6640625" hidden="1" customWidth="1"/>
    <col min="20" max="26" width="8.6640625" customWidth="1"/>
  </cols>
  <sheetData>
    <row r="1" spans="1:7" ht="14.25" customHeight="1"/>
    <row r="2" spans="1:7" ht="14.25" customHeight="1">
      <c r="C2" s="29" t="s">
        <v>54</v>
      </c>
      <c r="D2" s="29">
        <f>'CO-PO Direct Attainment'!D2</f>
        <v>0</v>
      </c>
      <c r="E2" s="29"/>
      <c r="F2" s="29"/>
      <c r="G2" s="29"/>
    </row>
    <row r="3" spans="1:7" ht="14.25" customHeight="1">
      <c r="C3" s="29" t="s">
        <v>56</v>
      </c>
      <c r="D3" s="29">
        <f>'CO-PO Direct Attainment'!D3</f>
        <v>0</v>
      </c>
      <c r="E3" s="29"/>
      <c r="F3" s="29"/>
      <c r="G3" s="29"/>
    </row>
    <row r="4" spans="1:7" ht="14.25" customHeight="1">
      <c r="C4" s="29" t="s">
        <v>60</v>
      </c>
      <c r="D4" s="38">
        <f>'CO-PO Direct Attainment'!D4</f>
        <v>0</v>
      </c>
      <c r="E4" s="29"/>
      <c r="F4" s="29"/>
      <c r="G4" s="29"/>
    </row>
    <row r="5" spans="1:7" ht="14.25" customHeight="1">
      <c r="C5" s="29" t="s">
        <v>64</v>
      </c>
      <c r="D5" s="38">
        <f>'CO-PO Direct Attainment'!D5</f>
        <v>0</v>
      </c>
    </row>
    <row r="6" spans="1:7" ht="14.25" customHeight="1">
      <c r="C6" s="29" t="s">
        <v>65</v>
      </c>
      <c r="D6" s="29">
        <f>'CO-PO Direct Attainment'!D6</f>
        <v>0</v>
      </c>
      <c r="E6" s="29"/>
      <c r="F6" s="29"/>
      <c r="G6" s="29"/>
    </row>
    <row r="7" spans="1:7" ht="14.25" customHeight="1">
      <c r="C7" s="29"/>
      <c r="D7" s="226"/>
      <c r="E7" s="223"/>
      <c r="F7" s="223"/>
      <c r="G7" s="223"/>
    </row>
    <row r="8" spans="1:7" ht="14.25" customHeight="1">
      <c r="C8" s="36"/>
      <c r="D8" s="36"/>
    </row>
    <row r="9" spans="1:7" ht="14.25" customHeight="1">
      <c r="C9" s="36"/>
      <c r="D9" s="36"/>
    </row>
    <row r="10" spans="1:7" ht="14.25" customHeight="1">
      <c r="C10" s="231" t="s">
        <v>126</v>
      </c>
      <c r="D10" s="209"/>
    </row>
    <row r="11" spans="1:7" ht="14.25" customHeight="1">
      <c r="C11" s="136" t="s">
        <v>127</v>
      </c>
      <c r="D11" s="137" t="s">
        <v>128</v>
      </c>
    </row>
    <row r="12" spans="1:7" ht="14.25" customHeight="1">
      <c r="A12" s="53" t="s">
        <v>129</v>
      </c>
      <c r="C12" s="136" t="s">
        <v>130</v>
      </c>
      <c r="D12" s="138">
        <v>1</v>
      </c>
    </row>
    <row r="13" spans="1:7" ht="14.25" customHeight="1">
      <c r="C13" s="136" t="s">
        <v>131</v>
      </c>
      <c r="D13" s="138">
        <v>2</v>
      </c>
    </row>
    <row r="14" spans="1:7" ht="14.25" customHeight="1">
      <c r="C14" s="136" t="s">
        <v>132</v>
      </c>
      <c r="D14" s="138">
        <v>3</v>
      </c>
    </row>
    <row r="15" spans="1:7" ht="14.25" customHeight="1">
      <c r="C15" s="139" t="s">
        <v>133</v>
      </c>
      <c r="D15" s="140">
        <v>0</v>
      </c>
    </row>
    <row r="16" spans="1:7" ht="14.25" customHeight="1">
      <c r="C16" s="58"/>
      <c r="D16" s="59"/>
    </row>
    <row r="17" spans="1:19" ht="14.25" customHeight="1"/>
    <row r="18" spans="1:19" ht="14.25" customHeight="1">
      <c r="B18" s="257" t="s">
        <v>134</v>
      </c>
      <c r="C18" s="202"/>
      <c r="D18" s="258" t="s">
        <v>135</v>
      </c>
      <c r="E18" s="209"/>
      <c r="F18" s="141"/>
      <c r="G18" s="141"/>
      <c r="H18" s="115"/>
      <c r="I18" s="259"/>
      <c r="J18" s="223"/>
      <c r="K18" s="223"/>
      <c r="L18" s="223"/>
      <c r="M18" s="115"/>
      <c r="N18" s="260"/>
      <c r="O18" s="142"/>
    </row>
    <row r="19" spans="1:19" ht="14.25" customHeight="1">
      <c r="B19" s="203"/>
      <c r="C19" s="205"/>
      <c r="D19" s="143" t="s">
        <v>115</v>
      </c>
      <c r="E19" s="144" t="s">
        <v>136</v>
      </c>
      <c r="F19" s="142"/>
      <c r="G19" s="142"/>
      <c r="H19" s="115"/>
      <c r="I19" s="145"/>
      <c r="J19" s="142"/>
      <c r="K19" s="142"/>
      <c r="L19" s="142"/>
      <c r="M19" s="115"/>
      <c r="N19" s="223"/>
      <c r="O19" s="142"/>
    </row>
    <row r="20" spans="1:19" ht="15" customHeight="1">
      <c r="B20" s="261" t="s">
        <v>11</v>
      </c>
      <c r="C20" s="209"/>
      <c r="D20" s="146" t="e">
        <f>#REF!</f>
        <v>#REF!</v>
      </c>
      <c r="E20" s="147">
        <v>3</v>
      </c>
      <c r="F20" s="148"/>
      <c r="G20" s="149"/>
      <c r="H20" s="115"/>
      <c r="I20" s="149"/>
      <c r="J20" s="149"/>
      <c r="K20" s="149"/>
      <c r="L20" s="149"/>
      <c r="M20" s="115"/>
      <c r="N20" s="150"/>
      <c r="O20" s="150"/>
    </row>
    <row r="21" spans="1:19" ht="15" customHeight="1">
      <c r="B21" s="261" t="s">
        <v>12</v>
      </c>
      <c r="C21" s="209"/>
      <c r="D21" s="146" t="e">
        <f>#REF!</f>
        <v>#REF!</v>
      </c>
      <c r="E21" s="147" t="e">
        <f>D21*3/70</f>
        <v>#REF!</v>
      </c>
      <c r="F21" s="148"/>
      <c r="G21" s="149"/>
      <c r="H21" s="115"/>
      <c r="I21" s="149"/>
      <c r="J21" s="149"/>
      <c r="K21" s="149"/>
      <c r="L21" s="149"/>
      <c r="M21" s="115"/>
      <c r="N21" s="150"/>
      <c r="O21" s="150"/>
    </row>
    <row r="22" spans="1:19" ht="20.25" customHeight="1">
      <c r="A22" s="53" t="s">
        <v>137</v>
      </c>
      <c r="B22" s="261" t="s">
        <v>15</v>
      </c>
      <c r="C22" s="209"/>
      <c r="D22" s="146" t="e">
        <f>#REF!</f>
        <v>#REF!</v>
      </c>
      <c r="E22" s="147">
        <f>60*3/70</f>
        <v>2.5714285714285716</v>
      </c>
      <c r="F22" s="148"/>
      <c r="G22" s="149"/>
      <c r="H22" s="115"/>
      <c r="I22" s="149"/>
      <c r="J22" s="149"/>
      <c r="K22" s="149"/>
      <c r="L22" s="149"/>
      <c r="M22" s="115"/>
      <c r="N22" s="150"/>
      <c r="O22" s="150"/>
    </row>
    <row r="23" spans="1:19" ht="15" customHeight="1">
      <c r="B23" s="261" t="s">
        <v>16</v>
      </c>
      <c r="C23" s="209"/>
      <c r="D23" s="146" t="e">
        <f>#REF!</f>
        <v>#REF!</v>
      </c>
      <c r="E23" s="147" t="e">
        <f>D23*3/70</f>
        <v>#REF!</v>
      </c>
      <c r="F23" s="148"/>
      <c r="G23" s="149"/>
      <c r="H23" s="115"/>
      <c r="I23" s="149"/>
      <c r="J23" s="149"/>
      <c r="K23" s="149"/>
      <c r="L23" s="149"/>
      <c r="M23" s="115"/>
      <c r="N23" s="150"/>
    </row>
    <row r="24" spans="1:19" ht="14.25" customHeight="1">
      <c r="B24" s="261" t="s">
        <v>20</v>
      </c>
      <c r="C24" s="209"/>
      <c r="D24" s="146" t="e">
        <f>#REF!</f>
        <v>#REF!</v>
      </c>
      <c r="E24" s="151"/>
      <c r="F24" s="152"/>
      <c r="G24" s="152"/>
      <c r="H24" s="152"/>
      <c r="I24" s="152"/>
      <c r="J24" s="152"/>
      <c r="K24" s="152"/>
      <c r="L24" s="149"/>
      <c r="M24" s="115"/>
      <c r="N24" s="150"/>
    </row>
    <row r="25" spans="1:19" ht="14.25" customHeight="1">
      <c r="B25" s="152"/>
      <c r="C25" s="152"/>
      <c r="D25" s="152"/>
      <c r="E25" s="152"/>
      <c r="F25" s="152"/>
    </row>
    <row r="26" spans="1:19" ht="14.25" hidden="1" customHeight="1">
      <c r="B26" s="262" t="s">
        <v>138</v>
      </c>
      <c r="C26" s="219"/>
      <c r="D26" s="219"/>
      <c r="E26" s="219"/>
      <c r="F26" s="219"/>
      <c r="G26" s="219"/>
      <c r="H26" s="209"/>
      <c r="I26" s="29"/>
      <c r="J26" s="29"/>
      <c r="K26" s="29"/>
      <c r="L26" s="29"/>
      <c r="M26" s="29"/>
      <c r="N26" s="29"/>
      <c r="O26" s="29"/>
      <c r="P26" s="29"/>
    </row>
    <row r="27" spans="1:19" ht="14.25" hidden="1" customHeight="1">
      <c r="B27" s="263" t="s">
        <v>67</v>
      </c>
      <c r="C27" s="209"/>
      <c r="D27" s="61" t="s">
        <v>39</v>
      </c>
      <c r="E27" s="61" t="s">
        <v>40</v>
      </c>
      <c r="F27" s="61" t="s">
        <v>41</v>
      </c>
      <c r="G27" s="61" t="s">
        <v>42</v>
      </c>
      <c r="H27" s="61" t="s">
        <v>43</v>
      </c>
      <c r="I27" s="61" t="s">
        <v>74</v>
      </c>
      <c r="J27" s="61" t="s">
        <v>75</v>
      </c>
      <c r="K27" s="61" t="s">
        <v>76</v>
      </c>
      <c r="L27" s="61" t="s">
        <v>77</v>
      </c>
      <c r="M27" s="61" t="s">
        <v>78</v>
      </c>
      <c r="N27" s="61" t="s">
        <v>79</v>
      </c>
      <c r="O27" s="61" t="s">
        <v>80</v>
      </c>
      <c r="P27" s="61" t="s">
        <v>81</v>
      </c>
      <c r="Q27" s="61" t="s">
        <v>82</v>
      </c>
      <c r="R27" s="61" t="s">
        <v>83</v>
      </c>
      <c r="S27" s="61" t="s">
        <v>84</v>
      </c>
    </row>
    <row r="28" spans="1:19" ht="20.25" hidden="1" customHeight="1">
      <c r="B28" s="62" t="s">
        <v>11</v>
      </c>
      <c r="C28" s="63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14.25" hidden="1" customHeight="1">
      <c r="A29" s="53" t="s">
        <v>139</v>
      </c>
      <c r="B29" s="62" t="s">
        <v>12</v>
      </c>
      <c r="C29" s="63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19" ht="14.25" hidden="1" customHeight="1">
      <c r="B30" s="62" t="s">
        <v>15</v>
      </c>
      <c r="C30" s="63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1:19" ht="15.75" hidden="1" customHeight="1">
      <c r="B31" s="62" t="s">
        <v>16</v>
      </c>
      <c r="C31" s="63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spans="1:19" ht="15.75" hidden="1" customHeight="1">
      <c r="B32" s="62" t="s">
        <v>20</v>
      </c>
      <c r="C32" s="63"/>
      <c r="D32" s="20"/>
      <c r="E32" s="20"/>
      <c r="F32" s="20"/>
      <c r="G32" s="20"/>
      <c r="H32" s="20"/>
      <c r="I32" s="153"/>
      <c r="J32" s="153"/>
      <c r="K32" s="153"/>
      <c r="L32" s="154"/>
      <c r="M32" s="42"/>
      <c r="N32" s="155"/>
      <c r="O32" s="153"/>
      <c r="P32" s="153"/>
      <c r="Q32" s="153"/>
      <c r="R32" s="24"/>
      <c r="S32" s="24"/>
    </row>
    <row r="33" spans="1:19" ht="15.75" hidden="1" customHeight="1">
      <c r="B33" s="264" t="s">
        <v>140</v>
      </c>
      <c r="C33" s="243"/>
      <c r="D33" s="243"/>
      <c r="E33" s="243"/>
      <c r="F33" s="250"/>
      <c r="G33" s="152"/>
      <c r="H33" s="152"/>
      <c r="I33" s="152"/>
      <c r="J33" s="152"/>
      <c r="K33" s="152"/>
      <c r="L33" s="149"/>
      <c r="M33" s="115"/>
      <c r="N33" s="150"/>
    </row>
    <row r="34" spans="1:19" ht="15.75" hidden="1" customHeight="1">
      <c r="B34" s="265" t="s">
        <v>141</v>
      </c>
      <c r="C34" s="219"/>
      <c r="D34" s="219"/>
      <c r="E34" s="219"/>
      <c r="F34" s="209"/>
      <c r="G34" s="152"/>
      <c r="H34" s="152"/>
      <c r="O34" s="152"/>
      <c r="P34" s="152"/>
      <c r="Q34" s="152"/>
    </row>
    <row r="35" spans="1:19" ht="14.25" hidden="1" customHeight="1">
      <c r="B35" s="265" t="s">
        <v>142</v>
      </c>
      <c r="C35" s="219"/>
      <c r="D35" s="219"/>
      <c r="E35" s="219"/>
      <c r="F35" s="209"/>
    </row>
    <row r="36" spans="1:19" ht="15.75" hidden="1" customHeight="1">
      <c r="B36" s="266" t="s">
        <v>143</v>
      </c>
      <c r="C36" s="219"/>
      <c r="D36" s="219"/>
      <c r="E36" s="219"/>
      <c r="F36" s="209"/>
    </row>
    <row r="37" spans="1:19" ht="14.25" customHeight="1"/>
    <row r="38" spans="1:19" ht="14.25" customHeight="1">
      <c r="I38" s="29"/>
      <c r="J38" s="29"/>
      <c r="K38" s="29"/>
      <c r="L38" s="29"/>
      <c r="M38" s="29"/>
      <c r="N38" s="29"/>
      <c r="O38" s="29"/>
    </row>
    <row r="39" spans="1:19" ht="14.25" customHeight="1">
      <c r="B39" s="267" t="s">
        <v>66</v>
      </c>
      <c r="C39" s="268"/>
      <c r="D39" s="268"/>
      <c r="E39" s="268"/>
      <c r="F39" s="268"/>
      <c r="G39" s="268"/>
      <c r="H39" s="269"/>
      <c r="I39" s="156"/>
      <c r="J39" s="156"/>
      <c r="K39" s="156"/>
      <c r="L39" s="156"/>
      <c r="M39" s="156"/>
      <c r="N39" s="156"/>
      <c r="O39" s="156"/>
    </row>
    <row r="40" spans="1:19" ht="14.25" customHeight="1">
      <c r="B40" s="263" t="s">
        <v>67</v>
      </c>
      <c r="C40" s="209"/>
      <c r="D40" s="61" t="s">
        <v>39</v>
      </c>
      <c r="E40" s="61" t="s">
        <v>40</v>
      </c>
      <c r="F40" s="61" t="s">
        <v>41</v>
      </c>
      <c r="G40" s="61" t="s">
        <v>42</v>
      </c>
      <c r="H40" s="61" t="s">
        <v>43</v>
      </c>
      <c r="I40" s="61" t="s">
        <v>74</v>
      </c>
      <c r="J40" s="61" t="s">
        <v>75</v>
      </c>
      <c r="K40" s="61" t="s">
        <v>76</v>
      </c>
      <c r="L40" s="61" t="s">
        <v>77</v>
      </c>
      <c r="M40" s="61" t="s">
        <v>78</v>
      </c>
      <c r="N40" s="61" t="s">
        <v>79</v>
      </c>
      <c r="O40" s="61" t="s">
        <v>80</v>
      </c>
      <c r="P40" s="61" t="s">
        <v>81</v>
      </c>
      <c r="Q40" s="61" t="s">
        <v>82</v>
      </c>
      <c r="R40" s="61" t="s">
        <v>83</v>
      </c>
      <c r="S40" s="61" t="s">
        <v>84</v>
      </c>
    </row>
    <row r="41" spans="1:19" ht="18" customHeight="1">
      <c r="B41" s="270" t="s">
        <v>11</v>
      </c>
      <c r="C41" s="209"/>
      <c r="D41" s="20">
        <v>2</v>
      </c>
      <c r="E41" s="20">
        <v>2</v>
      </c>
      <c r="F41" s="20">
        <v>3</v>
      </c>
      <c r="G41" s="20">
        <v>2</v>
      </c>
      <c r="H41" s="20">
        <v>1</v>
      </c>
      <c r="I41" s="20"/>
      <c r="J41" s="20"/>
      <c r="K41" s="20"/>
      <c r="L41" s="20"/>
      <c r="M41" s="20"/>
      <c r="N41" s="20"/>
      <c r="O41" s="20"/>
      <c r="P41" s="24"/>
      <c r="Q41" s="24"/>
      <c r="R41" s="24"/>
      <c r="S41" s="24"/>
    </row>
    <row r="42" spans="1:19" ht="14.25" customHeight="1">
      <c r="A42" s="53" t="s">
        <v>144</v>
      </c>
      <c r="B42" s="270" t="s">
        <v>12</v>
      </c>
      <c r="C42" s="209"/>
      <c r="D42" s="20">
        <v>3</v>
      </c>
      <c r="E42" s="20">
        <v>1</v>
      </c>
      <c r="F42" s="20">
        <v>2</v>
      </c>
      <c r="G42" s="20">
        <v>3</v>
      </c>
      <c r="H42" s="20">
        <v>1</v>
      </c>
      <c r="I42" s="20"/>
      <c r="J42" s="20"/>
      <c r="K42" s="20"/>
      <c r="L42" s="20"/>
      <c r="M42" s="20"/>
      <c r="N42" s="20"/>
      <c r="O42" s="20"/>
      <c r="P42" s="24"/>
      <c r="Q42" s="24"/>
      <c r="R42" s="24"/>
      <c r="S42" s="24"/>
    </row>
    <row r="43" spans="1:19" ht="14.25" customHeight="1">
      <c r="B43" s="270" t="s">
        <v>15</v>
      </c>
      <c r="C43" s="209"/>
      <c r="D43" s="20">
        <v>3</v>
      </c>
      <c r="E43" s="20">
        <v>1</v>
      </c>
      <c r="F43" s="20">
        <v>2</v>
      </c>
      <c r="G43" s="20">
        <v>3</v>
      </c>
      <c r="H43" s="20">
        <v>1</v>
      </c>
      <c r="I43" s="20"/>
      <c r="J43" s="20"/>
      <c r="K43" s="20"/>
      <c r="L43" s="20"/>
      <c r="M43" s="20"/>
      <c r="N43" s="20"/>
      <c r="O43" s="20"/>
      <c r="P43" s="24"/>
      <c r="Q43" s="24"/>
      <c r="R43" s="24"/>
      <c r="S43" s="24"/>
    </row>
    <row r="44" spans="1:19" ht="14.25" customHeight="1">
      <c r="B44" s="270" t="s">
        <v>16</v>
      </c>
      <c r="C44" s="209"/>
      <c r="D44" s="20">
        <v>3</v>
      </c>
      <c r="E44" s="20">
        <v>1</v>
      </c>
      <c r="F44" s="20">
        <v>2</v>
      </c>
      <c r="G44" s="20">
        <v>3</v>
      </c>
      <c r="H44" s="20">
        <v>1</v>
      </c>
      <c r="I44" s="20"/>
      <c r="J44" s="20"/>
      <c r="K44" s="20"/>
      <c r="L44" s="20"/>
      <c r="M44" s="20"/>
      <c r="N44" s="20"/>
      <c r="O44" s="20"/>
      <c r="P44" s="20"/>
      <c r="Q44" s="24"/>
      <c r="R44" s="24"/>
      <c r="S44" s="24"/>
    </row>
    <row r="45" spans="1:19" ht="14.25" customHeight="1">
      <c r="B45" s="270" t="s">
        <v>20</v>
      </c>
      <c r="C45" s="209"/>
      <c r="D45" s="20"/>
      <c r="E45" s="20"/>
      <c r="F45" s="20"/>
      <c r="G45" s="20"/>
      <c r="H45" s="20"/>
      <c r="I45" s="153"/>
      <c r="J45" s="153"/>
      <c r="K45" s="153"/>
      <c r="L45" s="153"/>
      <c r="M45" s="153"/>
      <c r="N45" s="153"/>
      <c r="O45" s="153"/>
      <c r="P45" s="153"/>
      <c r="Q45" s="24"/>
      <c r="R45" s="24"/>
      <c r="S45" s="24"/>
    </row>
    <row r="46" spans="1:19" ht="18.75" customHeight="1">
      <c r="B46" s="152"/>
      <c r="C46" s="152"/>
      <c r="D46" s="152"/>
      <c r="E46" s="152"/>
      <c r="F46" s="152"/>
      <c r="G46" s="152"/>
      <c r="H46" s="152"/>
      <c r="I46" s="157"/>
    </row>
    <row r="47" spans="1:19" ht="18.75" customHeight="1">
      <c r="B47" s="272" t="s">
        <v>145</v>
      </c>
      <c r="C47" s="219"/>
      <c r="D47" s="219"/>
      <c r="E47" s="219"/>
      <c r="F47" s="219"/>
      <c r="G47" s="219"/>
      <c r="H47" s="209"/>
    </row>
    <row r="48" spans="1:19" ht="33.75" customHeight="1">
      <c r="B48" s="263" t="s">
        <v>67</v>
      </c>
      <c r="C48" s="209"/>
      <c r="D48" s="61" t="s">
        <v>39</v>
      </c>
      <c r="E48" s="61" t="s">
        <v>40</v>
      </c>
      <c r="F48" s="61" t="s">
        <v>41</v>
      </c>
      <c r="G48" s="61" t="s">
        <v>42</v>
      </c>
      <c r="H48" s="61" t="s">
        <v>43</v>
      </c>
      <c r="I48" s="61" t="s">
        <v>74</v>
      </c>
      <c r="J48" s="61" t="s">
        <v>75</v>
      </c>
      <c r="K48" s="61" t="s">
        <v>76</v>
      </c>
      <c r="L48" s="61" t="s">
        <v>77</v>
      </c>
      <c r="M48" s="61" t="s">
        <v>78</v>
      </c>
      <c r="N48" s="61" t="s">
        <v>79</v>
      </c>
      <c r="O48" s="61" t="s">
        <v>80</v>
      </c>
      <c r="P48" s="61" t="s">
        <v>81</v>
      </c>
      <c r="Q48" s="61" t="s">
        <v>82</v>
      </c>
      <c r="R48" s="61" t="s">
        <v>83</v>
      </c>
      <c r="S48" s="61" t="s">
        <v>84</v>
      </c>
    </row>
    <row r="49" spans="1:19" ht="18.75" hidden="1" customHeight="1">
      <c r="B49" s="270" t="s">
        <v>11</v>
      </c>
      <c r="C49" s="209"/>
      <c r="D49" s="158">
        <f t="shared" ref="D49:D53" si="0">(E20*D41)/3</f>
        <v>2</v>
      </c>
      <c r="E49" s="158">
        <f t="shared" ref="E49:E50" si="1">(E20*E41)</f>
        <v>6</v>
      </c>
      <c r="F49" s="158">
        <f t="shared" ref="F49:F53" si="2">(E20*F41)/3</f>
        <v>3</v>
      </c>
      <c r="G49" s="158">
        <f t="shared" ref="G49:G53" si="3">(E20*G41)/3</f>
        <v>2</v>
      </c>
      <c r="H49" s="158">
        <f t="shared" ref="H49:H53" si="4">(E20*H41)/3</f>
        <v>1</v>
      </c>
      <c r="I49" s="158">
        <f t="shared" ref="I49:I53" si="5">(E20*I41)/3</f>
        <v>0</v>
      </c>
      <c r="J49" s="158">
        <f t="shared" ref="J49:J53" si="6">(E20*J41)/3</f>
        <v>0</v>
      </c>
      <c r="K49" s="158">
        <f t="shared" ref="K49:K53" si="7">(E20*K41)/3</f>
        <v>0</v>
      </c>
      <c r="L49" s="158">
        <f t="shared" ref="L49:L53" si="8">(E20*L41)/3</f>
        <v>0</v>
      </c>
      <c r="M49" s="158">
        <f t="shared" ref="M49:M53" si="9">(E20*M41)/3</f>
        <v>0</v>
      </c>
      <c r="N49" s="158">
        <f t="shared" ref="N49:N53" si="10">(E20*N41)/3</f>
        <v>0</v>
      </c>
      <c r="O49" s="158">
        <f t="shared" ref="O49:O53" si="11">(E20*O41)/3</f>
        <v>0</v>
      </c>
      <c r="P49" s="158">
        <f t="shared" ref="P49:P53" si="12">(E20*P41)/3</f>
        <v>0</v>
      </c>
      <c r="Q49" s="158">
        <f t="shared" ref="Q49:Q53" si="13">(E20*Q41)/3</f>
        <v>0</v>
      </c>
      <c r="R49" s="158">
        <f t="shared" ref="R49:R53" si="14">(E20*R41)/3</f>
        <v>0</v>
      </c>
      <c r="S49" s="158">
        <f t="shared" ref="S49:S53" si="15">(E20*S41)/3</f>
        <v>0</v>
      </c>
    </row>
    <row r="50" spans="1:19" ht="18.75" hidden="1" customHeight="1">
      <c r="B50" s="270" t="s">
        <v>12</v>
      </c>
      <c r="C50" s="209"/>
      <c r="D50" s="158" t="e">
        <f t="shared" si="0"/>
        <v>#REF!</v>
      </c>
      <c r="E50" s="158" t="e">
        <f t="shared" si="1"/>
        <v>#REF!</v>
      </c>
      <c r="F50" s="158" t="e">
        <f t="shared" si="2"/>
        <v>#REF!</v>
      </c>
      <c r="G50" s="158" t="e">
        <f t="shared" si="3"/>
        <v>#REF!</v>
      </c>
      <c r="H50" s="158" t="e">
        <f t="shared" si="4"/>
        <v>#REF!</v>
      </c>
      <c r="I50" s="158" t="e">
        <f t="shared" si="5"/>
        <v>#REF!</v>
      </c>
      <c r="J50" s="158" t="e">
        <f t="shared" si="6"/>
        <v>#REF!</v>
      </c>
      <c r="K50" s="158" t="e">
        <f t="shared" si="7"/>
        <v>#REF!</v>
      </c>
      <c r="L50" s="158" t="e">
        <f t="shared" si="8"/>
        <v>#REF!</v>
      </c>
      <c r="M50" s="158" t="e">
        <f t="shared" si="9"/>
        <v>#REF!</v>
      </c>
      <c r="N50" s="158" t="e">
        <f t="shared" si="10"/>
        <v>#REF!</v>
      </c>
      <c r="O50" s="158" t="e">
        <f t="shared" si="11"/>
        <v>#REF!</v>
      </c>
      <c r="P50" s="158" t="e">
        <f t="shared" si="12"/>
        <v>#REF!</v>
      </c>
      <c r="Q50" s="158" t="e">
        <f t="shared" si="13"/>
        <v>#REF!</v>
      </c>
      <c r="R50" s="158" t="e">
        <f t="shared" si="14"/>
        <v>#REF!</v>
      </c>
      <c r="S50" s="158" t="e">
        <f t="shared" si="15"/>
        <v>#REF!</v>
      </c>
    </row>
    <row r="51" spans="1:19" ht="14.25" hidden="1" customHeight="1">
      <c r="B51" s="270" t="s">
        <v>15</v>
      </c>
      <c r="C51" s="209"/>
      <c r="D51" s="158">
        <f t="shared" si="0"/>
        <v>2.5714285714285716</v>
      </c>
      <c r="E51" s="158">
        <f t="shared" ref="E51:E52" si="16">(E22*E43)/3</f>
        <v>0.85714285714285721</v>
      </c>
      <c r="F51" s="158">
        <f t="shared" si="2"/>
        <v>1.7142857142857144</v>
      </c>
      <c r="G51" s="158">
        <f t="shared" si="3"/>
        <v>2.5714285714285716</v>
      </c>
      <c r="H51" s="158">
        <f t="shared" si="4"/>
        <v>0.85714285714285721</v>
      </c>
      <c r="I51" s="158">
        <f t="shared" si="5"/>
        <v>0</v>
      </c>
      <c r="J51" s="158">
        <f t="shared" si="6"/>
        <v>0</v>
      </c>
      <c r="K51" s="158">
        <f t="shared" si="7"/>
        <v>0</v>
      </c>
      <c r="L51" s="158">
        <f t="shared" si="8"/>
        <v>0</v>
      </c>
      <c r="M51" s="158">
        <f t="shared" si="9"/>
        <v>0</v>
      </c>
      <c r="N51" s="158">
        <f t="shared" si="10"/>
        <v>0</v>
      </c>
      <c r="O51" s="158">
        <f t="shared" si="11"/>
        <v>0</v>
      </c>
      <c r="P51" s="158">
        <f t="shared" si="12"/>
        <v>0</v>
      </c>
      <c r="Q51" s="158">
        <f t="shared" si="13"/>
        <v>0</v>
      </c>
      <c r="R51" s="158">
        <f t="shared" si="14"/>
        <v>0</v>
      </c>
      <c r="S51" s="158">
        <f t="shared" si="15"/>
        <v>0</v>
      </c>
    </row>
    <row r="52" spans="1:19" ht="14.25" hidden="1" customHeight="1">
      <c r="B52" s="270" t="s">
        <v>16</v>
      </c>
      <c r="C52" s="209"/>
      <c r="D52" s="158" t="e">
        <f t="shared" si="0"/>
        <v>#REF!</v>
      </c>
      <c r="E52" s="158" t="e">
        <f t="shared" si="16"/>
        <v>#REF!</v>
      </c>
      <c r="F52" s="158" t="e">
        <f t="shared" si="2"/>
        <v>#REF!</v>
      </c>
      <c r="G52" s="158" t="e">
        <f t="shared" si="3"/>
        <v>#REF!</v>
      </c>
      <c r="H52" s="158" t="e">
        <f t="shared" si="4"/>
        <v>#REF!</v>
      </c>
      <c r="I52" s="158" t="e">
        <f t="shared" si="5"/>
        <v>#REF!</v>
      </c>
      <c r="J52" s="158" t="e">
        <f t="shared" si="6"/>
        <v>#REF!</v>
      </c>
      <c r="K52" s="158" t="e">
        <f t="shared" si="7"/>
        <v>#REF!</v>
      </c>
      <c r="L52" s="158" t="e">
        <f t="shared" si="8"/>
        <v>#REF!</v>
      </c>
      <c r="M52" s="158" t="e">
        <f t="shared" si="9"/>
        <v>#REF!</v>
      </c>
      <c r="N52" s="158" t="e">
        <f t="shared" si="10"/>
        <v>#REF!</v>
      </c>
      <c r="O52" s="158" t="e">
        <f t="shared" si="11"/>
        <v>#REF!</v>
      </c>
      <c r="P52" s="158" t="e">
        <f t="shared" si="12"/>
        <v>#REF!</v>
      </c>
      <c r="Q52" s="158" t="e">
        <f t="shared" si="13"/>
        <v>#REF!</v>
      </c>
      <c r="R52" s="158" t="e">
        <f t="shared" si="14"/>
        <v>#REF!</v>
      </c>
      <c r="S52" s="158" t="e">
        <f t="shared" si="15"/>
        <v>#REF!</v>
      </c>
    </row>
    <row r="53" spans="1:19" ht="14.25" hidden="1" customHeight="1">
      <c r="B53" s="270" t="s">
        <v>20</v>
      </c>
      <c r="C53" s="209"/>
      <c r="D53" s="158">
        <f t="shared" si="0"/>
        <v>0</v>
      </c>
      <c r="E53" s="158">
        <f>(E24*E45)</f>
        <v>0</v>
      </c>
      <c r="F53" s="158">
        <f t="shared" si="2"/>
        <v>0</v>
      </c>
      <c r="G53" s="158">
        <f t="shared" si="3"/>
        <v>0</v>
      </c>
      <c r="H53" s="158">
        <f t="shared" si="4"/>
        <v>0</v>
      </c>
      <c r="I53" s="158">
        <f t="shared" si="5"/>
        <v>0</v>
      </c>
      <c r="J53" s="158">
        <f t="shared" si="6"/>
        <v>0</v>
      </c>
      <c r="K53" s="158">
        <f t="shared" si="7"/>
        <v>0</v>
      </c>
      <c r="L53" s="158">
        <f t="shared" si="8"/>
        <v>0</v>
      </c>
      <c r="M53" s="158">
        <f t="shared" si="9"/>
        <v>0</v>
      </c>
      <c r="N53" s="158">
        <f t="shared" si="10"/>
        <v>0</v>
      </c>
      <c r="O53" s="158">
        <f t="shared" si="11"/>
        <v>0</v>
      </c>
      <c r="P53" s="158">
        <f t="shared" si="12"/>
        <v>0</v>
      </c>
      <c r="Q53" s="158">
        <f t="shared" si="13"/>
        <v>0</v>
      </c>
      <c r="R53" s="158">
        <f t="shared" si="14"/>
        <v>0</v>
      </c>
      <c r="S53" s="158">
        <f t="shared" si="15"/>
        <v>0</v>
      </c>
    </row>
    <row r="54" spans="1:19" ht="14.25" customHeight="1">
      <c r="B54" s="263" t="s">
        <v>145</v>
      </c>
      <c r="C54" s="209"/>
      <c r="D54" s="159" t="e">
        <f>((D41*E20)+(D42*E21)+(D43*E22)+(D44*E23)+(D45*E24))/D57</f>
        <v>#REF!</v>
      </c>
      <c r="E54" s="159" t="e">
        <f>((E41*E20)+(E42*E21)+(E43*E22)+(E44*E23)+(E45*E24))/E57</f>
        <v>#REF!</v>
      </c>
      <c r="F54" s="159" t="e">
        <f>((F41*E20)+(F42*E21)+(F43*E22)+(F44*E23)+(F45*E24))/F57</f>
        <v>#REF!</v>
      </c>
      <c r="G54" s="159" t="e">
        <f>((G41*E20)+(G42*E21)+(G43*E22)+(G44*E23)+(G45*E24))/G57</f>
        <v>#REF!</v>
      </c>
      <c r="H54" s="159" t="e">
        <f>((H41*E20)+(H42*E21)+(H43*E22)+(H44*E23)+(H45*E24))/H57</f>
        <v>#REF!</v>
      </c>
      <c r="I54" s="159" t="e">
        <f>((I41*E20)+(I42*E21)+(I43*E22)+(I44*E23)+(I45*E24))/I57</f>
        <v>#REF!</v>
      </c>
      <c r="J54" s="159" t="e">
        <f>((J41*E20)+(J42*E21)+(J43*E22)+(J44*E23)+(J45*E24))/J57</f>
        <v>#REF!</v>
      </c>
      <c r="K54" s="159" t="e">
        <f>((K41*E20)+(K42*E21)+(K43*E22)+(K44*E23)+(K45*E24))/K57</f>
        <v>#REF!</v>
      </c>
      <c r="L54" s="159" t="e">
        <f>((L41*E20)+(L42*E21)+(L43*E22)+(L44*E23)+(L45*E24))/L57</f>
        <v>#REF!</v>
      </c>
      <c r="M54" s="159" t="e">
        <f>((M41*E20)+(M42*E21)+(M43*E22)+(M44*E23)+(M45*E24))/M57</f>
        <v>#REF!</v>
      </c>
      <c r="N54" s="159" t="e">
        <f>((N41*E20)+(N42*E21)+(N43*E22)+(N44*E23)+(N45*E24))/N57</f>
        <v>#REF!</v>
      </c>
      <c r="O54" s="159" t="e">
        <f>((O41*E20)+(O42*E21)+(O43*E22)+(O44*E23)+(O45*E24))/O57</f>
        <v>#REF!</v>
      </c>
      <c r="P54" s="159" t="e">
        <f>((P41*E20)+(P42*E21)+(P43*E22)+(P44*E23)+(P45*E24))/P57</f>
        <v>#REF!</v>
      </c>
      <c r="Q54" s="159" t="e">
        <f>((Q41*E20)+(Q42*E21)+(Q43*E22)+(Q44*E23)+(Q45*E24))/Q57</f>
        <v>#REF!</v>
      </c>
      <c r="R54" s="159" t="e">
        <f>((R41*E20)+(R42*E21)+(R43*E22)+(R44*E23)+(R45*E24))/R57</f>
        <v>#REF!</v>
      </c>
      <c r="S54" s="159" t="e">
        <f>((S41*E20)+(S42*E21)+(S43*E22)+(S44*E23)+(S45*E24))/S57</f>
        <v>#REF!</v>
      </c>
    </row>
    <row r="55" spans="1:19" ht="14.25" customHeight="1">
      <c r="B55" s="114"/>
      <c r="C55" s="114"/>
      <c r="D55" s="114"/>
      <c r="E55" s="114"/>
      <c r="F55" s="114"/>
      <c r="G55" s="114"/>
      <c r="H55" s="114"/>
    </row>
    <row r="56" spans="1:19" ht="14.25" customHeight="1">
      <c r="B56" s="114"/>
      <c r="C56" s="114"/>
      <c r="D56" s="114"/>
      <c r="E56" s="114"/>
      <c r="F56" s="114"/>
      <c r="G56" s="114"/>
      <c r="H56" s="114"/>
    </row>
    <row r="57" spans="1:19" ht="14.25" hidden="1" customHeight="1">
      <c r="D57" s="53" t="e">
        <f>SUM(IF(E20&gt;0,D41,0),IF(E21&gt;0,D42,0),IF(E22&gt;0,D43,0),IF(E23&gt;0,D44,0),IF(E24&gt;0,D45,0))</f>
        <v>#REF!</v>
      </c>
      <c r="E57" s="53" t="e">
        <f>SUM(IF(E20&gt;0,E41,0),IF(E21&gt;0,E42,0),IF(E22&gt;0,E43,0),IF(E23&gt;0,E44,0),IF(E24&gt;0,E45,0))</f>
        <v>#REF!</v>
      </c>
      <c r="F57" s="53" t="e">
        <f>SUM(IF(E20&gt;0,F41,0),IF(E21&gt;0,F42,0),IF(E22&gt;0,F43,0),IF(E23&gt;0,F44,0),IF(E24&gt;0,F45,0))</f>
        <v>#REF!</v>
      </c>
      <c r="G57" s="53" t="e">
        <f>SUM(IF(E20&gt;0,G41,0),IF(E21&gt;0,G42,0),IF(E22&gt;0,G43,0),IF(E23&gt;0,G44,0),IF(E24&gt;0,G45,0))</f>
        <v>#REF!</v>
      </c>
      <c r="H57" s="53" t="e">
        <f>SUM(IF(E20&gt;0,H41,0),IF(E21&gt;0,H42,0),IF(E22&gt;0,H43,0),IF(E23&gt;0,H44,0),IF(E24&gt;0,H45,0))</f>
        <v>#REF!</v>
      </c>
      <c r="I57" s="53" t="e">
        <f>SUM(IF(E20&gt;0,I41,0),IF(E21&gt;0,I42,0),IF(E22&gt;0,I43,0),IF(E23&gt;0,I44,0),IF(E24&gt;0,I45,0))</f>
        <v>#REF!</v>
      </c>
      <c r="J57" s="53" t="e">
        <f>SUM(IF(E20&gt;0,J41,0),IF(E21&gt;0,J42,0),IF(E22&gt;0,J43,0),IF(E23&gt;0,J44,0),IF(E24&gt;0,J45,0))</f>
        <v>#REF!</v>
      </c>
      <c r="K57" s="53" t="e">
        <f>SUM(IF(E20&gt;0,K41,0),IF(E21&gt;0,K42,0),IF(E22&gt;0,K43,0),IF(E23&gt;0,K44,0),IF(E24&gt;0,K45,0))</f>
        <v>#REF!</v>
      </c>
      <c r="L57" s="53" t="e">
        <f>SUM(IF(E20&gt;0,L41,0),IF(E21&gt;0,L42,0),IF(E22&gt;0,L43,0),IF(E23&gt;0,L44,0),IF(E24&gt;0,L45,0))</f>
        <v>#REF!</v>
      </c>
      <c r="M57" s="53" t="e">
        <f>SUM(IF(E20&gt;0,M41,0),IF(E21&gt;0,M42,0),IF(E22&gt;0,M43,0),IF(E23&gt;0,M44,0),IF(E24&gt;0,M45,0))</f>
        <v>#REF!</v>
      </c>
      <c r="N57" s="53" t="e">
        <f>SUM(IF(E20&gt;0,N41,0),IF(E21&gt;0,N42,0),IF(E22&gt;0,N43,0),IF(E23&gt;0,N44,0),IF(E24&gt;0,N45,0))</f>
        <v>#REF!</v>
      </c>
      <c r="O57" s="53" t="e">
        <f>SUM(IF(E20&gt;0,O41,0),IF(E21&gt;0,O42,0),IF(E22&gt;0,O43,0),IF(E23&gt;0,O44,0),IF(E24&gt;0,O45,0))</f>
        <v>#REF!</v>
      </c>
      <c r="P57" s="53" t="e">
        <f>SUM(IF(E20&gt;0,P41,0),IF(E21&gt;0,P42,0),IF(E22&gt;0,P43,0),IF(E23&gt;0,P44,0),IF(E24&gt;0,P45,0))</f>
        <v>#REF!</v>
      </c>
      <c r="Q57" s="53" t="e">
        <f>SUM(IF(E20&gt;0,Q41,0),IF(E21&gt;0,Q42,0),IF(E22&gt;0,Q43,0),IF(E23&gt;0,Q44,0),IF(E24&gt;0,Q45,0))</f>
        <v>#REF!</v>
      </c>
      <c r="R57" s="53" t="e">
        <f>SUM(IF(E20&gt;0,R41,0),IF(E21&gt;0,R42,0),IF(E22&gt;0,R43,0),IF(E23&gt;0,R44,0),IF(E24&gt;0,R45,0))</f>
        <v>#REF!</v>
      </c>
      <c r="S57" s="53" t="e">
        <f>SUM(IF(E20&gt;0,S41,0),IF(E21&gt;0,S42,0),IF(E22&gt;0,S43,0),IF(E23&gt;0,S44,0),IF(E24&gt;0,S45,0))</f>
        <v>#REF!</v>
      </c>
    </row>
    <row r="58" spans="1:19" ht="14.25" hidden="1" customHeight="1">
      <c r="A58" s="218" t="s">
        <v>146</v>
      </c>
      <c r="B58" s="219"/>
      <c r="C58" s="219"/>
      <c r="D58" s="219"/>
      <c r="E58" s="219"/>
      <c r="F58" s="219"/>
      <c r="G58" s="219"/>
      <c r="H58" s="209"/>
      <c r="I58" s="36"/>
      <c r="J58" s="36"/>
      <c r="K58" s="36"/>
      <c r="L58" s="36"/>
      <c r="M58" s="36"/>
      <c r="N58" s="36"/>
      <c r="O58" s="36"/>
      <c r="P58" s="114"/>
    </row>
    <row r="59" spans="1:19" ht="14.25" hidden="1" customHeight="1">
      <c r="A59" s="20" t="s">
        <v>147</v>
      </c>
      <c r="B59" s="22"/>
      <c r="C59" s="22"/>
      <c r="D59" s="22"/>
      <c r="E59" s="22"/>
      <c r="F59" s="22"/>
      <c r="G59" s="22"/>
      <c r="H59" s="22"/>
      <c r="I59" s="156"/>
      <c r="J59" s="156"/>
      <c r="K59" s="156"/>
      <c r="L59" s="156"/>
      <c r="M59" s="156"/>
      <c r="N59" s="156"/>
      <c r="O59" s="156"/>
      <c r="P59" s="114"/>
    </row>
    <row r="60" spans="1:19" ht="14.25" hidden="1" customHeight="1">
      <c r="A60" s="271">
        <f>$D$4</f>
        <v>0</v>
      </c>
      <c r="B60" s="160" t="s">
        <v>148</v>
      </c>
      <c r="C60" s="20" t="s">
        <v>149</v>
      </c>
      <c r="D60" s="61" t="s">
        <v>39</v>
      </c>
      <c r="E60" s="61" t="s">
        <v>40</v>
      </c>
      <c r="F60" s="61" t="s">
        <v>41</v>
      </c>
      <c r="G60" s="61" t="s">
        <v>42</v>
      </c>
      <c r="H60" s="61" t="s">
        <v>43</v>
      </c>
      <c r="I60" s="61" t="s">
        <v>74</v>
      </c>
      <c r="J60" s="61" t="s">
        <v>75</v>
      </c>
      <c r="K60" s="61" t="s">
        <v>76</v>
      </c>
      <c r="L60" s="61" t="s">
        <v>77</v>
      </c>
      <c r="M60" s="61" t="s">
        <v>78</v>
      </c>
      <c r="N60" s="61" t="s">
        <v>79</v>
      </c>
      <c r="O60" s="61" t="s">
        <v>80</v>
      </c>
      <c r="P60" s="61" t="s">
        <v>81</v>
      </c>
      <c r="Q60" s="61" t="s">
        <v>82</v>
      </c>
      <c r="R60" s="61" t="s">
        <v>83</v>
      </c>
      <c r="S60" s="61" t="s">
        <v>84</v>
      </c>
    </row>
    <row r="61" spans="1:19" ht="14.25" hidden="1" customHeight="1">
      <c r="A61" s="212"/>
      <c r="B61" s="24">
        <f>$D$3</f>
        <v>0</v>
      </c>
      <c r="C61" s="22">
        <f>$D$2</f>
        <v>0</v>
      </c>
      <c r="D61" s="43" t="e">
        <f t="shared" ref="D61:S61" si="17">D54</f>
        <v>#REF!</v>
      </c>
      <c r="E61" s="43" t="e">
        <f t="shared" si="17"/>
        <v>#REF!</v>
      </c>
      <c r="F61" s="43" t="e">
        <f t="shared" si="17"/>
        <v>#REF!</v>
      </c>
      <c r="G61" s="43" t="e">
        <f t="shared" si="17"/>
        <v>#REF!</v>
      </c>
      <c r="H61" s="43" t="e">
        <f t="shared" si="17"/>
        <v>#REF!</v>
      </c>
      <c r="I61" s="43" t="e">
        <f t="shared" si="17"/>
        <v>#REF!</v>
      </c>
      <c r="J61" s="43" t="e">
        <f t="shared" si="17"/>
        <v>#REF!</v>
      </c>
      <c r="K61" s="43" t="e">
        <f t="shared" si="17"/>
        <v>#REF!</v>
      </c>
      <c r="L61" s="43" t="e">
        <f t="shared" si="17"/>
        <v>#REF!</v>
      </c>
      <c r="M61" s="43" t="e">
        <f t="shared" si="17"/>
        <v>#REF!</v>
      </c>
      <c r="N61" s="43" t="e">
        <f t="shared" si="17"/>
        <v>#REF!</v>
      </c>
      <c r="O61" s="43" t="e">
        <f t="shared" si="17"/>
        <v>#REF!</v>
      </c>
      <c r="P61" s="43" t="e">
        <f t="shared" si="17"/>
        <v>#REF!</v>
      </c>
      <c r="Q61" s="43" t="e">
        <f t="shared" si="17"/>
        <v>#REF!</v>
      </c>
      <c r="R61" s="43" t="e">
        <f t="shared" si="17"/>
        <v>#REF!</v>
      </c>
      <c r="S61" s="43" t="e">
        <f t="shared" si="17"/>
        <v>#REF!</v>
      </c>
    </row>
    <row r="62" spans="1:19" ht="14.25" hidden="1" customHeight="1">
      <c r="B62" s="37"/>
      <c r="C62" s="37"/>
    </row>
    <row r="63" spans="1:19" ht="14.25" hidden="1" customHeight="1"/>
    <row r="64" spans="1:1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4">
    <mergeCell ref="A58:H58"/>
    <mergeCell ref="A60:A61"/>
    <mergeCell ref="B43:C43"/>
    <mergeCell ref="B44:C44"/>
    <mergeCell ref="B45:C45"/>
    <mergeCell ref="B47:H47"/>
    <mergeCell ref="B48:C48"/>
    <mergeCell ref="B49:C49"/>
    <mergeCell ref="B50:C50"/>
    <mergeCell ref="B42:C42"/>
    <mergeCell ref="B51:C51"/>
    <mergeCell ref="B52:C52"/>
    <mergeCell ref="B53:C53"/>
    <mergeCell ref="B54:C54"/>
    <mergeCell ref="B35:F35"/>
    <mergeCell ref="B36:F36"/>
    <mergeCell ref="B39:H39"/>
    <mergeCell ref="B40:C40"/>
    <mergeCell ref="B41:C41"/>
    <mergeCell ref="B24:C24"/>
    <mergeCell ref="B26:H26"/>
    <mergeCell ref="B27:C27"/>
    <mergeCell ref="B33:F33"/>
    <mergeCell ref="B34:F34"/>
    <mergeCell ref="N18:N19"/>
    <mergeCell ref="B20:C20"/>
    <mergeCell ref="B21:C21"/>
    <mergeCell ref="B22:C22"/>
    <mergeCell ref="B23:C23"/>
    <mergeCell ref="D7:G7"/>
    <mergeCell ref="C10:D10"/>
    <mergeCell ref="B18:C19"/>
    <mergeCell ref="D18:E18"/>
    <mergeCell ref="I18:L18"/>
  </mergeCells>
  <pageMargins left="0.7" right="0.7" top="0.75" bottom="0.75" header="0" footer="0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970"/>
  <sheetViews>
    <sheetView workbookViewId="0">
      <selection activeCell="C43" sqref="C43"/>
    </sheetView>
  </sheetViews>
  <sheetFormatPr defaultColWidth="14.44140625" defaultRowHeight="15" customHeight="1"/>
  <cols>
    <col min="1" max="1" width="11.109375" customWidth="1"/>
    <col min="2" max="2" width="16.44140625" customWidth="1"/>
    <col min="3" max="3" width="11.44140625" customWidth="1"/>
    <col min="4" max="4" width="12.33203125" customWidth="1"/>
    <col min="5" max="5" width="10.5546875" customWidth="1"/>
    <col min="6" max="8" width="10.6640625" customWidth="1"/>
    <col min="9" max="16" width="10.6640625" hidden="1" customWidth="1"/>
    <col min="17" max="17" width="9.6640625" hidden="1" customWidth="1"/>
    <col min="18" max="18" width="13.5546875" hidden="1" customWidth="1"/>
    <col min="19" max="19" width="8.6640625" hidden="1" customWidth="1"/>
    <col min="20" max="20" width="10.44140625" customWidth="1"/>
    <col min="21" max="23" width="8.6640625" customWidth="1"/>
    <col min="24" max="24" width="15.33203125" customWidth="1"/>
    <col min="25" max="28" width="9.5546875" customWidth="1"/>
  </cols>
  <sheetData>
    <row r="1" spans="1:26" ht="48">
      <c r="T1" s="161" t="s">
        <v>48</v>
      </c>
      <c r="U1" s="161" t="s">
        <v>49</v>
      </c>
      <c r="V1" s="282" t="s">
        <v>150</v>
      </c>
      <c r="W1" s="283"/>
      <c r="X1" s="283"/>
      <c r="Y1" s="283"/>
      <c r="Z1" s="284"/>
    </row>
    <row r="2" spans="1:26" ht="14.25" customHeight="1">
      <c r="B2" s="286" t="s">
        <v>54</v>
      </c>
      <c r="C2" s="209"/>
      <c r="D2" s="287">
        <f>'Front page'!D2</f>
        <v>0</v>
      </c>
      <c r="E2" s="219"/>
      <c r="F2" s="219"/>
      <c r="G2" s="209"/>
      <c r="T2" s="162">
        <v>3</v>
      </c>
      <c r="U2" s="162">
        <v>85</v>
      </c>
      <c r="V2" s="273" t="s">
        <v>50</v>
      </c>
      <c r="W2" s="274"/>
      <c r="X2" s="274"/>
      <c r="Y2" s="274"/>
      <c r="Z2" s="275"/>
    </row>
    <row r="3" spans="1:26" ht="14.25" customHeight="1">
      <c r="B3" s="286" t="s">
        <v>56</v>
      </c>
      <c r="C3" s="209"/>
      <c r="D3" s="287">
        <f>'Front page'!D3</f>
        <v>0</v>
      </c>
      <c r="E3" s="219"/>
      <c r="F3" s="219"/>
      <c r="G3" s="209"/>
      <c r="T3" s="162">
        <v>2</v>
      </c>
      <c r="U3" s="162">
        <v>50</v>
      </c>
      <c r="V3" s="276"/>
      <c r="W3" s="277"/>
      <c r="X3" s="277"/>
      <c r="Y3" s="277"/>
      <c r="Z3" s="278"/>
    </row>
    <row r="4" spans="1:26" ht="15" customHeight="1">
      <c r="B4" s="286" t="s">
        <v>60</v>
      </c>
      <c r="C4" s="209"/>
      <c r="D4" s="287">
        <f>'Front page'!D9</f>
        <v>0</v>
      </c>
      <c r="E4" s="219"/>
      <c r="F4" s="219"/>
      <c r="G4" s="209"/>
      <c r="T4" s="162">
        <v>1</v>
      </c>
      <c r="U4" s="162">
        <v>30</v>
      </c>
      <c r="V4" s="279"/>
      <c r="W4" s="280"/>
      <c r="X4" s="280"/>
      <c r="Y4" s="280"/>
      <c r="Z4" s="281"/>
    </row>
    <row r="5" spans="1:26" ht="14.25" customHeight="1">
      <c r="B5" s="286" t="s">
        <v>64</v>
      </c>
      <c r="C5" s="209"/>
      <c r="D5" s="287">
        <f>'Front page'!D10</f>
        <v>0</v>
      </c>
      <c r="E5" s="219"/>
      <c r="F5" s="219"/>
      <c r="G5" s="209"/>
    </row>
    <row r="6" spans="1:26" ht="14.25" customHeight="1">
      <c r="B6" s="286" t="s">
        <v>65</v>
      </c>
      <c r="C6" s="209"/>
      <c r="D6" s="287">
        <f>'Front page'!D11</f>
        <v>0</v>
      </c>
      <c r="E6" s="219"/>
      <c r="F6" s="219"/>
      <c r="G6" s="209"/>
    </row>
    <row r="7" spans="1:26" ht="14.25" customHeight="1">
      <c r="C7" s="29"/>
      <c r="D7" s="226"/>
      <c r="E7" s="223"/>
      <c r="F7" s="223"/>
      <c r="G7" s="223"/>
    </row>
    <row r="8" spans="1:26" ht="14.25" customHeight="1">
      <c r="C8" s="58"/>
      <c r="D8" s="59"/>
    </row>
    <row r="9" spans="1:26" ht="14.25" customHeight="1">
      <c r="B9" s="59"/>
      <c r="C9" s="59"/>
      <c r="D9" s="59"/>
      <c r="E9" s="59"/>
    </row>
    <row r="10" spans="1:26" ht="14.25" customHeight="1">
      <c r="B10" s="289" t="s">
        <v>134</v>
      </c>
      <c r="C10" s="202"/>
      <c r="D10" s="288" t="s">
        <v>135</v>
      </c>
      <c r="E10" s="209"/>
      <c r="F10" s="141"/>
      <c r="G10" s="141"/>
      <c r="H10" s="115"/>
      <c r="I10" s="259"/>
      <c r="J10" s="223"/>
      <c r="K10" s="223"/>
      <c r="L10" s="223"/>
      <c r="M10" s="115"/>
      <c r="N10" s="260"/>
      <c r="O10" s="142"/>
    </row>
    <row r="11" spans="1:26" ht="61.5" customHeight="1">
      <c r="B11" s="203"/>
      <c r="C11" s="205"/>
      <c r="D11" s="163" t="s">
        <v>115</v>
      </c>
      <c r="E11" s="164" t="s">
        <v>136</v>
      </c>
      <c r="F11" s="142"/>
      <c r="G11" s="142"/>
      <c r="H11" s="115"/>
      <c r="I11" s="145"/>
      <c r="J11" s="142"/>
      <c r="K11" s="142"/>
      <c r="L11" s="142"/>
      <c r="M11" s="115"/>
      <c r="N11" s="223"/>
      <c r="O11" s="142"/>
    </row>
    <row r="12" spans="1:26" ht="15" customHeight="1">
      <c r="B12" s="290" t="s">
        <v>11</v>
      </c>
      <c r="C12" s="209"/>
      <c r="D12" s="112">
        <f>'CO Assessment'!BL223</f>
        <v>55.555555555555557</v>
      </c>
      <c r="E12" s="112">
        <f>IF(D12="","",IF(D12&gt;$U$2,3,IF(D12&gt;$U$3,2+((D12-$U$3)/($U$2-$U$3)),IF(D12&gt;$U$4,1+((D12-$U$4)/($U$3-$U$4)),0))))</f>
        <v>2.1587301587301586</v>
      </c>
      <c r="G12" s="149"/>
      <c r="H12" s="115"/>
      <c r="I12" s="149"/>
      <c r="J12" s="149"/>
      <c r="K12" s="149"/>
      <c r="L12" s="149"/>
      <c r="M12" s="115"/>
      <c r="N12" s="150"/>
      <c r="O12" s="150"/>
    </row>
    <row r="13" spans="1:26" ht="15" customHeight="1">
      <c r="B13" s="290" t="s">
        <v>12</v>
      </c>
      <c r="C13" s="209"/>
      <c r="D13" s="112">
        <f>'CO Assessment'!BP223</f>
        <v>74.074074074074076</v>
      </c>
      <c r="E13" s="112">
        <f>IF(D13="","",IF(D13&gt;$U$2,3,IF(D13&gt;$U$3,2+((D13-$U$3)/($U$2-$U$3)),IF(D13&gt;$U$4,1+((D13-$U$4)/($U$3-$U$4)),0))))</f>
        <v>2.6878306878306879</v>
      </c>
      <c r="G13" s="149"/>
      <c r="H13" s="115"/>
      <c r="I13" s="149"/>
      <c r="J13" s="149"/>
      <c r="K13" s="149"/>
      <c r="L13" s="149"/>
      <c r="M13" s="115"/>
      <c r="N13" s="150"/>
      <c r="O13" s="150"/>
    </row>
    <row r="14" spans="1:26" ht="15" customHeight="1">
      <c r="A14" s="53" t="s">
        <v>137</v>
      </c>
      <c r="B14" s="290" t="s">
        <v>15</v>
      </c>
      <c r="C14" s="209"/>
      <c r="D14" s="112">
        <f>'CO Assessment'!BT223</f>
        <v>77.777777777777786</v>
      </c>
      <c r="E14" s="112">
        <f>IF(D14="","",IF(D14&gt;$U$2,3,IF(D14&gt;$U$3,2+((D14-$U$3)/($U$2-$U$3)),IF(D14&gt;$U$4,1+((D14-$U$4)/($U$3-$U$4)),0))))</f>
        <v>2.7936507936507939</v>
      </c>
      <c r="G14" s="149"/>
      <c r="H14" s="115"/>
      <c r="I14" s="149"/>
      <c r="J14" s="149"/>
      <c r="K14" s="149"/>
      <c r="L14" s="149"/>
      <c r="M14" s="115"/>
      <c r="N14" s="150"/>
      <c r="O14" s="150"/>
    </row>
    <row r="15" spans="1:26" ht="15" customHeight="1">
      <c r="B15" s="290" t="s">
        <v>16</v>
      </c>
      <c r="C15" s="209"/>
      <c r="D15" s="112">
        <f>'CO Assessment'!BX223</f>
        <v>70.370370370370367</v>
      </c>
      <c r="E15" s="112">
        <f>IF(D15="","",IF(D15&gt;$U$2,3,IF(D15&gt;$U$3,2+((D15-$U$3)/($U$2-$U$3)),IF(D15&gt;$U$4,1+((D15-$U$4)/($U$3-$U$4)),0))))</f>
        <v>2.5820105820105819</v>
      </c>
      <c r="G15" s="149"/>
      <c r="H15" s="115"/>
      <c r="I15" s="149"/>
      <c r="J15" s="149"/>
      <c r="K15" s="149"/>
      <c r="L15" s="149"/>
      <c r="M15" s="115"/>
      <c r="N15" s="150"/>
    </row>
    <row r="16" spans="1:26" ht="14.25" customHeight="1">
      <c r="B16" s="290" t="s">
        <v>20</v>
      </c>
      <c r="C16" s="209"/>
      <c r="D16" s="165"/>
      <c r="E16" s="112" t="str">
        <f>IF(D16="","",IF(D16&gt;$U$2,3,IF(D16&gt;$U$3,2+((D16-$U$3)/($U$2-$U$3)),IF(D16&gt;$U$4,1+((D16-$U$4)/($U$3-$U$4)),0))))</f>
        <v/>
      </c>
      <c r="F16" s="166"/>
      <c r="G16" s="152"/>
      <c r="H16" s="152"/>
      <c r="I16" s="152"/>
      <c r="J16" s="152"/>
      <c r="K16" s="152"/>
      <c r="L16" s="149"/>
      <c r="M16" s="115"/>
      <c r="N16" s="150"/>
    </row>
    <row r="17" spans="1:19" ht="15.75" customHeight="1">
      <c r="B17" s="152"/>
      <c r="C17" s="152"/>
      <c r="D17" s="152"/>
      <c r="E17" s="152"/>
      <c r="F17" s="152"/>
    </row>
    <row r="18" spans="1:19" ht="14.25" customHeight="1">
      <c r="B18" s="232" t="s">
        <v>66</v>
      </c>
      <c r="C18" s="219"/>
      <c r="D18" s="219"/>
      <c r="E18" s="219"/>
      <c r="F18" s="219"/>
      <c r="G18" s="209"/>
      <c r="I18" s="61" t="s">
        <v>74</v>
      </c>
      <c r="J18" s="61" t="s">
        <v>75</v>
      </c>
      <c r="K18" s="61" t="s">
        <v>76</v>
      </c>
      <c r="L18" s="61" t="s">
        <v>77</v>
      </c>
      <c r="M18" s="61" t="s">
        <v>78</v>
      </c>
      <c r="N18" s="61" t="s">
        <v>79</v>
      </c>
      <c r="O18" s="61" t="s">
        <v>80</v>
      </c>
      <c r="P18" s="61" t="s">
        <v>81</v>
      </c>
      <c r="Q18" s="61" t="s">
        <v>82</v>
      </c>
      <c r="R18" s="61" t="s">
        <v>83</v>
      </c>
      <c r="S18" s="61" t="s">
        <v>84</v>
      </c>
    </row>
    <row r="19" spans="1:19" ht="14.25" customHeight="1">
      <c r="B19" s="54" t="s">
        <v>67</v>
      </c>
      <c r="C19" s="55" t="s">
        <v>39</v>
      </c>
      <c r="D19" s="55" t="s">
        <v>40</v>
      </c>
      <c r="E19" s="55" t="s">
        <v>41</v>
      </c>
      <c r="F19" s="55" t="s">
        <v>42</v>
      </c>
      <c r="G19" s="55" t="s">
        <v>43</v>
      </c>
      <c r="I19" s="20"/>
      <c r="J19" s="20"/>
      <c r="K19" s="20"/>
      <c r="L19" s="20"/>
      <c r="M19" s="20"/>
      <c r="N19" s="20"/>
      <c r="O19" s="20"/>
      <c r="P19" s="24"/>
      <c r="Q19" s="24"/>
      <c r="R19" s="24"/>
      <c r="S19" s="24"/>
    </row>
    <row r="20" spans="1:19" ht="14.25" customHeight="1">
      <c r="A20" s="53" t="s">
        <v>144</v>
      </c>
      <c r="B20" s="56" t="s">
        <v>11</v>
      </c>
      <c r="C20" s="167">
        <f>'Front page'!H14</f>
        <v>3</v>
      </c>
      <c r="D20" s="167">
        <f>'Front page'!I14</f>
        <v>2</v>
      </c>
      <c r="E20" s="167">
        <f>'Front page'!J14</f>
        <v>3</v>
      </c>
      <c r="F20" s="167">
        <f>'Front page'!K14</f>
        <v>2</v>
      </c>
      <c r="G20" s="167">
        <f>'Front page'!L14</f>
        <v>0</v>
      </c>
      <c r="I20" s="20"/>
      <c r="J20" s="20"/>
      <c r="K20" s="20"/>
      <c r="L20" s="20"/>
      <c r="M20" s="20"/>
      <c r="N20" s="20"/>
      <c r="O20" s="20"/>
      <c r="P20" s="24"/>
      <c r="Q20" s="24"/>
      <c r="R20" s="24"/>
      <c r="S20" s="24"/>
    </row>
    <row r="21" spans="1:19" ht="14.25" customHeight="1">
      <c r="B21" s="56" t="s">
        <v>12</v>
      </c>
      <c r="C21" s="167">
        <f>'Front page'!H15</f>
        <v>3</v>
      </c>
      <c r="D21" s="167">
        <f>'Front page'!I15</f>
        <v>3</v>
      </c>
      <c r="E21" s="167">
        <f>'Front page'!J15</f>
        <v>3</v>
      </c>
      <c r="F21" s="167">
        <f>'Front page'!K15</f>
        <v>2</v>
      </c>
      <c r="G21" s="167">
        <f>'Front page'!L15</f>
        <v>0</v>
      </c>
      <c r="I21" s="20"/>
      <c r="J21" s="20"/>
      <c r="K21" s="20"/>
      <c r="L21" s="20"/>
      <c r="M21" s="20"/>
      <c r="N21" s="20"/>
      <c r="O21" s="20"/>
      <c r="P21" s="24"/>
      <c r="Q21" s="24"/>
      <c r="R21" s="24"/>
      <c r="S21" s="24"/>
    </row>
    <row r="22" spans="1:19" ht="14.25" customHeight="1">
      <c r="B22" s="56" t="s">
        <v>15</v>
      </c>
      <c r="C22" s="167">
        <f>'Front page'!H16</f>
        <v>3</v>
      </c>
      <c r="D22" s="167">
        <f>'Front page'!I16</f>
        <v>1</v>
      </c>
      <c r="E22" s="167">
        <f>'Front page'!J16</f>
        <v>3</v>
      </c>
      <c r="F22" s="167">
        <f>'Front page'!K16</f>
        <v>2</v>
      </c>
      <c r="G22" s="167">
        <f>'Front page'!L16</f>
        <v>1</v>
      </c>
      <c r="I22" s="20"/>
      <c r="J22" s="20"/>
      <c r="K22" s="20"/>
      <c r="L22" s="20"/>
      <c r="M22" s="20"/>
      <c r="N22" s="20"/>
      <c r="O22" s="20"/>
      <c r="P22" s="20"/>
      <c r="Q22" s="24"/>
      <c r="R22" s="24"/>
      <c r="S22" s="24"/>
    </row>
    <row r="23" spans="1:19" ht="14.25" customHeight="1">
      <c r="B23" s="56" t="s">
        <v>16</v>
      </c>
      <c r="C23" s="167">
        <f>'Front page'!H17</f>
        <v>3</v>
      </c>
      <c r="D23" s="167">
        <f>'Front page'!I17</f>
        <v>3</v>
      </c>
      <c r="E23" s="167">
        <f>'Front page'!J17</f>
        <v>3</v>
      </c>
      <c r="F23" s="167">
        <f>'Front page'!K17</f>
        <v>2</v>
      </c>
      <c r="G23" s="167">
        <f>'Front page'!L17</f>
        <v>1</v>
      </c>
      <c r="I23" s="153"/>
      <c r="J23" s="153"/>
      <c r="K23" s="153"/>
      <c r="L23" s="153"/>
      <c r="M23" s="153"/>
      <c r="N23" s="153"/>
      <c r="O23" s="153"/>
      <c r="P23" s="153"/>
      <c r="Q23" s="24"/>
      <c r="R23" s="24"/>
      <c r="S23" s="24"/>
    </row>
    <row r="24" spans="1:19" ht="14.25" customHeight="1">
      <c r="B24" s="56" t="s">
        <v>20</v>
      </c>
      <c r="C24" s="167">
        <f>'Front page'!H18</f>
        <v>0</v>
      </c>
      <c r="D24" s="167">
        <f>'Front page'!I18</f>
        <v>0</v>
      </c>
      <c r="E24" s="167">
        <f>'Front page'!J18</f>
        <v>0</v>
      </c>
      <c r="F24" s="167">
        <f>'Front page'!K18</f>
        <v>0</v>
      </c>
      <c r="G24" s="167">
        <f>'Front page'!L18</f>
        <v>0</v>
      </c>
      <c r="I24" s="157"/>
    </row>
    <row r="25" spans="1:19" ht="14.25" customHeight="1">
      <c r="H25" s="152"/>
      <c r="I25" s="157"/>
    </row>
    <row r="26" spans="1:19" ht="14.25" customHeight="1">
      <c r="B26" s="195" t="s">
        <v>182</v>
      </c>
      <c r="C26" s="186"/>
      <c r="D26" s="186"/>
      <c r="E26" s="186"/>
      <c r="F26" s="186"/>
      <c r="G26" s="186"/>
      <c r="H26" s="185"/>
    </row>
    <row r="27" spans="1:19" ht="30" customHeight="1">
      <c r="B27" s="194"/>
      <c r="C27" s="168" t="s">
        <v>39</v>
      </c>
      <c r="D27" s="168" t="s">
        <v>40</v>
      </c>
      <c r="E27" s="168" t="s">
        <v>41</v>
      </c>
      <c r="F27" s="168" t="s">
        <v>42</v>
      </c>
      <c r="G27" s="168" t="s">
        <v>43</v>
      </c>
      <c r="H27" s="61" t="s">
        <v>74</v>
      </c>
      <c r="I27" s="61" t="s">
        <v>75</v>
      </c>
      <c r="J27" s="61" t="s">
        <v>76</v>
      </c>
      <c r="K27" s="61" t="s">
        <v>77</v>
      </c>
      <c r="L27" s="61" t="s">
        <v>78</v>
      </c>
      <c r="M27" s="61" t="s">
        <v>79</v>
      </c>
      <c r="N27" s="61" t="s">
        <v>80</v>
      </c>
      <c r="O27" s="61" t="s">
        <v>81</v>
      </c>
      <c r="P27" s="61" t="s">
        <v>82</v>
      </c>
      <c r="Q27" s="61" t="s">
        <v>83</v>
      </c>
      <c r="R27" s="61" t="s">
        <v>84</v>
      </c>
    </row>
    <row r="28" spans="1:19" ht="18.75" hidden="1" customHeight="1">
      <c r="B28" s="285" t="s">
        <v>11</v>
      </c>
      <c r="C28" s="209"/>
      <c r="D28" s="158" t="e">
        <f t="shared" ref="D28:S28" si="0">(#REF!*D19)/3</f>
        <v>#REF!</v>
      </c>
      <c r="E28" s="158" t="e">
        <f t="shared" si="0"/>
        <v>#REF!</v>
      </c>
      <c r="F28" s="158" t="e">
        <f t="shared" si="0"/>
        <v>#REF!</v>
      </c>
      <c r="G28" s="158" t="e">
        <f t="shared" si="0"/>
        <v>#REF!</v>
      </c>
      <c r="H28" s="158" t="e">
        <f t="shared" si="0"/>
        <v>#REF!</v>
      </c>
      <c r="I28" s="158" t="e">
        <f t="shared" si="0"/>
        <v>#REF!</v>
      </c>
      <c r="J28" s="158" t="e">
        <f t="shared" si="0"/>
        <v>#REF!</v>
      </c>
      <c r="K28" s="158" t="e">
        <f t="shared" si="0"/>
        <v>#REF!</v>
      </c>
      <c r="L28" s="158" t="e">
        <f t="shared" si="0"/>
        <v>#REF!</v>
      </c>
      <c r="M28" s="158" t="e">
        <f t="shared" si="0"/>
        <v>#REF!</v>
      </c>
      <c r="N28" s="158" t="e">
        <f t="shared" si="0"/>
        <v>#REF!</v>
      </c>
      <c r="O28" s="158" t="e">
        <f t="shared" si="0"/>
        <v>#REF!</v>
      </c>
      <c r="P28" s="158" t="e">
        <f t="shared" si="0"/>
        <v>#REF!</v>
      </c>
      <c r="Q28" s="158" t="e">
        <f t="shared" si="0"/>
        <v>#REF!</v>
      </c>
      <c r="R28" s="158" t="e">
        <f t="shared" si="0"/>
        <v>#REF!</v>
      </c>
      <c r="S28" s="158" t="e">
        <f t="shared" si="0"/>
        <v>#REF!</v>
      </c>
    </row>
    <row r="29" spans="1:19" ht="18.75" hidden="1" customHeight="1">
      <c r="B29" s="285" t="s">
        <v>12</v>
      </c>
      <c r="C29" s="209"/>
      <c r="D29" s="158" t="e">
        <f t="shared" ref="D29:S29" si="1">(#REF!*D20)/3</f>
        <v>#REF!</v>
      </c>
      <c r="E29" s="158" t="e">
        <f t="shared" si="1"/>
        <v>#REF!</v>
      </c>
      <c r="F29" s="158" t="e">
        <f t="shared" si="1"/>
        <v>#REF!</v>
      </c>
      <c r="G29" s="158" t="e">
        <f t="shared" si="1"/>
        <v>#REF!</v>
      </c>
      <c r="H29" s="158" t="e">
        <f t="shared" si="1"/>
        <v>#REF!</v>
      </c>
      <c r="I29" s="158" t="e">
        <f t="shared" si="1"/>
        <v>#REF!</v>
      </c>
      <c r="J29" s="158" t="e">
        <f t="shared" si="1"/>
        <v>#REF!</v>
      </c>
      <c r="K29" s="158" t="e">
        <f t="shared" si="1"/>
        <v>#REF!</v>
      </c>
      <c r="L29" s="158" t="e">
        <f t="shared" si="1"/>
        <v>#REF!</v>
      </c>
      <c r="M29" s="158" t="e">
        <f t="shared" si="1"/>
        <v>#REF!</v>
      </c>
      <c r="N29" s="158" t="e">
        <f t="shared" si="1"/>
        <v>#REF!</v>
      </c>
      <c r="O29" s="158" t="e">
        <f t="shared" si="1"/>
        <v>#REF!</v>
      </c>
      <c r="P29" s="158" t="e">
        <f t="shared" si="1"/>
        <v>#REF!</v>
      </c>
      <c r="Q29" s="158" t="e">
        <f t="shared" si="1"/>
        <v>#REF!</v>
      </c>
      <c r="R29" s="158" t="e">
        <f t="shared" si="1"/>
        <v>#REF!</v>
      </c>
      <c r="S29" s="158" t="e">
        <f t="shared" si="1"/>
        <v>#REF!</v>
      </c>
    </row>
    <row r="30" spans="1:19" ht="18.75" hidden="1" customHeight="1">
      <c r="B30" s="285" t="s">
        <v>15</v>
      </c>
      <c r="C30" s="209"/>
      <c r="D30" s="158" t="e">
        <f t="shared" ref="D30:S30" si="2">(#REF!*D21)/3</f>
        <v>#REF!</v>
      </c>
      <c r="E30" s="158" t="e">
        <f t="shared" si="2"/>
        <v>#REF!</v>
      </c>
      <c r="F30" s="158" t="e">
        <f t="shared" si="2"/>
        <v>#REF!</v>
      </c>
      <c r="G30" s="158" t="e">
        <f t="shared" si="2"/>
        <v>#REF!</v>
      </c>
      <c r="H30" s="158" t="e">
        <f t="shared" si="2"/>
        <v>#REF!</v>
      </c>
      <c r="I30" s="158" t="e">
        <f t="shared" si="2"/>
        <v>#REF!</v>
      </c>
      <c r="J30" s="158" t="e">
        <f t="shared" si="2"/>
        <v>#REF!</v>
      </c>
      <c r="K30" s="158" t="e">
        <f t="shared" si="2"/>
        <v>#REF!</v>
      </c>
      <c r="L30" s="158" t="e">
        <f t="shared" si="2"/>
        <v>#REF!</v>
      </c>
      <c r="M30" s="158" t="e">
        <f t="shared" si="2"/>
        <v>#REF!</v>
      </c>
      <c r="N30" s="158" t="e">
        <f t="shared" si="2"/>
        <v>#REF!</v>
      </c>
      <c r="O30" s="158" t="e">
        <f t="shared" si="2"/>
        <v>#REF!</v>
      </c>
      <c r="P30" s="158" t="e">
        <f t="shared" si="2"/>
        <v>#REF!</v>
      </c>
      <c r="Q30" s="158" t="e">
        <f t="shared" si="2"/>
        <v>#REF!</v>
      </c>
      <c r="R30" s="158" t="e">
        <f t="shared" si="2"/>
        <v>#REF!</v>
      </c>
      <c r="S30" s="158" t="e">
        <f t="shared" si="2"/>
        <v>#REF!</v>
      </c>
    </row>
    <row r="31" spans="1:19" ht="18.75" hidden="1" customHeight="1">
      <c r="B31" s="285" t="s">
        <v>16</v>
      </c>
      <c r="C31" s="209"/>
      <c r="D31" s="158" t="e">
        <f t="shared" ref="D31:S31" si="3">(#REF!*D22)/3</f>
        <v>#REF!</v>
      </c>
      <c r="E31" s="158" t="e">
        <f t="shared" si="3"/>
        <v>#REF!</v>
      </c>
      <c r="F31" s="158" t="e">
        <f t="shared" si="3"/>
        <v>#REF!</v>
      </c>
      <c r="G31" s="158" t="e">
        <f t="shared" si="3"/>
        <v>#REF!</v>
      </c>
      <c r="H31" s="158" t="e">
        <f t="shared" si="3"/>
        <v>#REF!</v>
      </c>
      <c r="I31" s="158" t="e">
        <f t="shared" si="3"/>
        <v>#REF!</v>
      </c>
      <c r="J31" s="158" t="e">
        <f t="shared" si="3"/>
        <v>#REF!</v>
      </c>
      <c r="K31" s="158" t="e">
        <f t="shared" si="3"/>
        <v>#REF!</v>
      </c>
      <c r="L31" s="158" t="e">
        <f t="shared" si="3"/>
        <v>#REF!</v>
      </c>
      <c r="M31" s="158" t="e">
        <f t="shared" si="3"/>
        <v>#REF!</v>
      </c>
      <c r="N31" s="158" t="e">
        <f t="shared" si="3"/>
        <v>#REF!</v>
      </c>
      <c r="O31" s="158" t="e">
        <f t="shared" si="3"/>
        <v>#REF!</v>
      </c>
      <c r="P31" s="158" t="e">
        <f t="shared" si="3"/>
        <v>#REF!</v>
      </c>
      <c r="Q31" s="158" t="e">
        <f t="shared" si="3"/>
        <v>#REF!</v>
      </c>
      <c r="R31" s="158" t="e">
        <f t="shared" si="3"/>
        <v>#REF!</v>
      </c>
      <c r="S31" s="158" t="e">
        <f t="shared" si="3"/>
        <v>#REF!</v>
      </c>
    </row>
    <row r="32" spans="1:19" ht="17.25" hidden="1" customHeight="1">
      <c r="B32" s="285" t="s">
        <v>20</v>
      </c>
      <c r="C32" s="209"/>
      <c r="D32" s="158" t="e">
        <f t="shared" ref="D32:S32" si="4">(#REF!*D23)/3</f>
        <v>#REF!</v>
      </c>
      <c r="E32" s="158" t="e">
        <f t="shared" si="4"/>
        <v>#REF!</v>
      </c>
      <c r="F32" s="158" t="e">
        <f t="shared" si="4"/>
        <v>#REF!</v>
      </c>
      <c r="G32" s="158" t="e">
        <f t="shared" si="4"/>
        <v>#REF!</v>
      </c>
      <c r="H32" s="158" t="e">
        <f t="shared" si="4"/>
        <v>#REF!</v>
      </c>
      <c r="I32" s="158" t="e">
        <f t="shared" si="4"/>
        <v>#REF!</v>
      </c>
      <c r="J32" s="158" t="e">
        <f t="shared" si="4"/>
        <v>#REF!</v>
      </c>
      <c r="K32" s="158" t="e">
        <f t="shared" si="4"/>
        <v>#REF!</v>
      </c>
      <c r="L32" s="158" t="e">
        <f t="shared" si="4"/>
        <v>#REF!</v>
      </c>
      <c r="M32" s="158" t="e">
        <f t="shared" si="4"/>
        <v>#REF!</v>
      </c>
      <c r="N32" s="158" t="e">
        <f t="shared" si="4"/>
        <v>#REF!</v>
      </c>
      <c r="O32" s="158" t="e">
        <f t="shared" si="4"/>
        <v>#REF!</v>
      </c>
      <c r="P32" s="158" t="e">
        <f t="shared" si="4"/>
        <v>#REF!</v>
      </c>
      <c r="Q32" s="158" t="e">
        <f t="shared" si="4"/>
        <v>#REF!</v>
      </c>
      <c r="R32" s="158" t="e">
        <f t="shared" si="4"/>
        <v>#REF!</v>
      </c>
      <c r="S32" s="158" t="e">
        <f t="shared" si="4"/>
        <v>#REF!</v>
      </c>
    </row>
    <row r="33" spans="2:19" ht="25.5" customHeight="1">
      <c r="B33" s="194" t="s">
        <v>145</v>
      </c>
      <c r="C33" s="170">
        <f>((C20*IF(E12="",0,E12))+(C21*IF(E13="",0,E13))+(C22*IF(E14="",0,E14))+(C23*IF(E15="",0,E15))+(C24*IF(E16="",0,E16)))/C35</f>
        <v>2.5555555555555554</v>
      </c>
      <c r="D33" s="170">
        <f>((D20*IF(E12="",0,E12))+(D21*IF(E13="",0,E13))+(D22*IF(E14="",0,E14))+(D23*IF(E15="",0,E15))+(D24*IF(E16="",0,E16)))/D35</f>
        <v>2.5467372134038797</v>
      </c>
      <c r="E33" s="170">
        <f>((E20*IF(E12="",0,E12))+(E21*IF(E13="",0,E13))+(E22*IF(E14="",0,E14))+(E23*IF(E15="",0,E15))+(E24*IF(E16="",0,E16)))/E35</f>
        <v>2.5555555555555554</v>
      </c>
      <c r="F33" s="170">
        <f>((F20*IF(E12="",0,E12))+(F21*IF(E13="",0,E13))+(F22*IF(E14="",0,E14))+(F23*IF(E15="",0,E15))+(F24*IF(E16="",0,E16)))/F35</f>
        <v>2.5555555555555558</v>
      </c>
      <c r="G33" s="170">
        <f>((G20*IF(E12="",0,E12))+(G21*IF(E13="",0,E13))+(G22*IF(E14="",0,E14))+(G23*IF(E15="",0,E15))+(G24*IF(E16="",0,E16)))/G35</f>
        <v>2.6878306878306879</v>
      </c>
      <c r="H33" s="159" t="e">
        <f>((I19*#REF!)+(I20*#REF!)+(I21*#REF!)+(I22*#REF!)+(I23*#REF!))/I36</f>
        <v>#REF!</v>
      </c>
      <c r="I33" s="159" t="e">
        <f>((J19*#REF!)+(J20*#REF!)+(J21*#REF!)+(J22*#REF!)+(J23*#REF!))/J36</f>
        <v>#REF!</v>
      </c>
      <c r="J33" s="159" t="e">
        <f>((K19*#REF!)+(K20*#REF!)+(K21*#REF!)+(K22*#REF!)+(K23*#REF!))/K36</f>
        <v>#REF!</v>
      </c>
      <c r="K33" s="159" t="e">
        <f>((L19*#REF!)+(L20*#REF!)+(L21*#REF!)+(L22*#REF!)+(L23*#REF!))/L36</f>
        <v>#REF!</v>
      </c>
      <c r="L33" s="159" t="e">
        <f>((M19*#REF!)+(M20*#REF!)+(M21*#REF!)+(M22*#REF!)+(M23*#REF!))/M36</f>
        <v>#REF!</v>
      </c>
      <c r="M33" s="159" t="e">
        <f>((N19*#REF!)+(N20*#REF!)+(N21*#REF!)+(N22*#REF!)+(N23*#REF!))/N36</f>
        <v>#REF!</v>
      </c>
      <c r="N33" s="159" t="e">
        <f>((O19*#REF!)+(O20*#REF!)+(O21*#REF!)+(O22*#REF!)+(O23*#REF!))/O36</f>
        <v>#REF!</v>
      </c>
      <c r="O33" s="159" t="e">
        <f>((P19*#REF!)+(P20*#REF!)+(P21*#REF!)+(P22*#REF!)+(P23*#REF!))/P36</f>
        <v>#REF!</v>
      </c>
      <c r="P33" s="159" t="e">
        <f>((Q19*#REF!)+(Q20*#REF!)+(Q21*#REF!)+(Q22*#REF!)+(Q23*#REF!))/Q36</f>
        <v>#REF!</v>
      </c>
      <c r="Q33" s="159" t="e">
        <f>((R19*#REF!)+(R20*#REF!)+(R21*#REF!)+(R22*#REF!)+(R23*#REF!))/R36</f>
        <v>#REF!</v>
      </c>
      <c r="R33" s="159" t="e">
        <f>((S19*#REF!)+(S20*#REF!)+(S21*#REF!)+(S22*#REF!)+(S23*#REF!))/S36</f>
        <v>#REF!</v>
      </c>
    </row>
    <row r="34" spans="2:19" ht="14.25" customHeight="1">
      <c r="B34" s="114"/>
      <c r="C34" s="114"/>
      <c r="D34" s="159"/>
      <c r="E34" s="114"/>
      <c r="F34" s="114"/>
      <c r="G34" s="114"/>
      <c r="H34" s="114"/>
    </row>
    <row r="35" spans="2:19" ht="14.25" customHeight="1">
      <c r="B35" s="114"/>
      <c r="C35" s="53">
        <f>SUM(IF($E$12&lt;&gt;"",C20,0),IF($E$13&lt;&gt;"",C21,0),IF($E$14&lt;&gt;"",C22,0),IF($E$15&lt;&gt;"",C23,0),IF($E$16&lt;&gt;"",C24,0))</f>
        <v>12</v>
      </c>
      <c r="D35" s="53">
        <f>SUM(IF($E$12&lt;&gt;"",D20,0),IF($E$13&lt;&gt;"",D21,0),IF($E$14&lt;&gt;"",D22,0),IF($E$15&lt;&gt;"",D23,0),IF($E$16&lt;&gt;"",D24,0))</f>
        <v>9</v>
      </c>
      <c r="E35" s="53">
        <f>SUM(IF($E$12&lt;&gt;"",E20,0),IF($E$13&lt;&gt;"",E21,0),IF($E$14&lt;&gt;"",E22,0),IF($E$15&lt;&gt;"",E23,0),IF($E$16&lt;&gt;"",E24,0))</f>
        <v>12</v>
      </c>
      <c r="F35" s="53">
        <f>SUM(IF($E$12&lt;&gt;"",F20,0),IF($E$13&lt;&gt;"",F21,0),IF($E$14&lt;&gt;"",F22,0),IF($E$15&lt;&gt;"",F23,0),IF($E$16&lt;&gt;"",F24,0))</f>
        <v>8</v>
      </c>
      <c r="G35" s="53">
        <f>SUM(IF($E$12&lt;&gt;"",G20,0),IF($E$13&lt;&gt;"",G21,0),IF($E$14&lt;&gt;"",G22,0),IF($E$15&lt;&gt;"",G23,0),IF($E$16&lt;&gt;"",G24,0))</f>
        <v>2</v>
      </c>
      <c r="H35" s="114"/>
    </row>
    <row r="36" spans="2:19" ht="14.25" customHeight="1">
      <c r="B36" s="114"/>
      <c r="C36" s="114"/>
      <c r="I36" s="53" t="e">
        <f t="shared" ref="I36:S36" si="5">SUM(IF(#REF!&gt;0,I19,0),IF(#REF!&gt;0,I20,0),IF(#REF!&gt;0,I21,0),IF(#REF!&gt;0,I22,0),IF(#REF!&gt;0,I23,0))</f>
        <v>#REF!</v>
      </c>
      <c r="J36" s="53" t="e">
        <f t="shared" si="5"/>
        <v>#REF!</v>
      </c>
      <c r="K36" s="53" t="e">
        <f t="shared" si="5"/>
        <v>#REF!</v>
      </c>
      <c r="L36" s="53" t="e">
        <f t="shared" si="5"/>
        <v>#REF!</v>
      </c>
      <c r="M36" s="53" t="e">
        <f t="shared" si="5"/>
        <v>#REF!</v>
      </c>
      <c r="N36" s="53" t="e">
        <f t="shared" si="5"/>
        <v>#REF!</v>
      </c>
      <c r="O36" s="53" t="e">
        <f t="shared" si="5"/>
        <v>#REF!</v>
      </c>
      <c r="P36" s="53" t="e">
        <f t="shared" si="5"/>
        <v>#REF!</v>
      </c>
      <c r="Q36" s="53" t="e">
        <f t="shared" si="5"/>
        <v>#REF!</v>
      </c>
      <c r="R36" s="53" t="e">
        <f t="shared" si="5"/>
        <v>#REF!</v>
      </c>
      <c r="S36" s="53" t="e">
        <f t="shared" si="5"/>
        <v>#REF!</v>
      </c>
    </row>
    <row r="37" spans="2:19" ht="14.25" customHeight="1"/>
    <row r="38" spans="2:19" ht="14.25" customHeight="1">
      <c r="B38" s="54" t="s">
        <v>67</v>
      </c>
      <c r="C38" s="55" t="s">
        <v>39</v>
      </c>
      <c r="D38" s="55" t="s">
        <v>40</v>
      </c>
      <c r="E38" s="55" t="s">
        <v>41</v>
      </c>
      <c r="F38" s="55" t="s">
        <v>42</v>
      </c>
      <c r="G38" s="55" t="s">
        <v>43</v>
      </c>
    </row>
    <row r="39" spans="2:19" ht="14.25" customHeight="1">
      <c r="B39" s="56" t="s">
        <v>11</v>
      </c>
      <c r="C39" s="171">
        <f t="shared" ref="C39:G42" si="6">C20*$E12/C$35</f>
        <v>0.53968253968253965</v>
      </c>
      <c r="D39" s="171">
        <f t="shared" si="6"/>
        <v>0.47971781305114636</v>
      </c>
      <c r="E39" s="171">
        <f t="shared" si="6"/>
        <v>0.53968253968253965</v>
      </c>
      <c r="F39" s="171">
        <f t="shared" si="6"/>
        <v>0.53968253968253965</v>
      </c>
      <c r="G39" s="171">
        <f t="shared" si="6"/>
        <v>0</v>
      </c>
    </row>
    <row r="40" spans="2:19" ht="14.25" customHeight="1">
      <c r="B40" s="56" t="s">
        <v>12</v>
      </c>
      <c r="C40" s="171">
        <f t="shared" si="6"/>
        <v>0.67195767195767198</v>
      </c>
      <c r="D40" s="171">
        <f t="shared" si="6"/>
        <v>0.89594356261022923</v>
      </c>
      <c r="E40" s="171">
        <f t="shared" si="6"/>
        <v>0.67195767195767198</v>
      </c>
      <c r="F40" s="171">
        <f t="shared" si="6"/>
        <v>0.67195767195767198</v>
      </c>
      <c r="G40" s="171">
        <f t="shared" si="6"/>
        <v>0</v>
      </c>
    </row>
    <row r="41" spans="2:19" ht="14.25" customHeight="1">
      <c r="B41" s="56" t="s">
        <v>15</v>
      </c>
      <c r="C41" s="171">
        <f t="shared" si="6"/>
        <v>0.69841269841269848</v>
      </c>
      <c r="D41" s="171">
        <f t="shared" si="6"/>
        <v>0.31040564373897711</v>
      </c>
      <c r="E41" s="171">
        <f t="shared" si="6"/>
        <v>0.69841269841269848</v>
      </c>
      <c r="F41" s="171">
        <f t="shared" si="6"/>
        <v>0.69841269841269848</v>
      </c>
      <c r="G41" s="171">
        <f t="shared" si="6"/>
        <v>1.396825396825397</v>
      </c>
    </row>
    <row r="42" spans="2:19" ht="14.25" customHeight="1">
      <c r="B42" s="56" t="s">
        <v>16</v>
      </c>
      <c r="C42" s="171">
        <f t="shared" si="6"/>
        <v>0.64550264550264547</v>
      </c>
      <c r="D42" s="171">
        <f t="shared" si="6"/>
        <v>0.86067019400352729</v>
      </c>
      <c r="E42" s="171">
        <f t="shared" si="6"/>
        <v>0.64550264550264547</v>
      </c>
      <c r="F42" s="171">
        <f t="shared" si="6"/>
        <v>0.64550264550264547</v>
      </c>
      <c r="G42" s="171">
        <f t="shared" si="6"/>
        <v>1.2910052910052909</v>
      </c>
    </row>
    <row r="43" spans="2:19" ht="14.25" customHeight="1">
      <c r="B43" s="56" t="s">
        <v>73</v>
      </c>
      <c r="C43" s="171">
        <f t="shared" ref="C43:G43" si="7">SUM(C39:C42)</f>
        <v>2.5555555555555558</v>
      </c>
      <c r="D43" s="171">
        <f t="shared" si="7"/>
        <v>2.5467372134038797</v>
      </c>
      <c r="E43" s="171">
        <f t="shared" si="7"/>
        <v>2.5555555555555558</v>
      </c>
      <c r="F43" s="171">
        <f t="shared" si="7"/>
        <v>2.5555555555555558</v>
      </c>
      <c r="G43" s="171">
        <f t="shared" si="7"/>
        <v>2.6878306878306879</v>
      </c>
    </row>
    <row r="44" spans="2:19" ht="14.25" customHeight="1"/>
    <row r="45" spans="2:19" ht="14.25" customHeight="1"/>
    <row r="46" spans="2:19" ht="14.25" customHeight="1"/>
    <row r="47" spans="2:19" ht="14.25" customHeight="1"/>
    <row r="48" spans="2:1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</sheetData>
  <mergeCells count="28">
    <mergeCell ref="B30:C30"/>
    <mergeCell ref="B31:C31"/>
    <mergeCell ref="B32:C32"/>
    <mergeCell ref="B2:C2"/>
    <mergeCell ref="D2:G2"/>
    <mergeCell ref="B3:C3"/>
    <mergeCell ref="D3:G3"/>
    <mergeCell ref="D10:E10"/>
    <mergeCell ref="B10:C11"/>
    <mergeCell ref="B4:C4"/>
    <mergeCell ref="B5:C5"/>
    <mergeCell ref="B6:C6"/>
    <mergeCell ref="D6:G6"/>
    <mergeCell ref="D7:G7"/>
    <mergeCell ref="D4:G4"/>
    <mergeCell ref="D5:G5"/>
    <mergeCell ref="V2:Z4"/>
    <mergeCell ref="V1:Z1"/>
    <mergeCell ref="B18:G18"/>
    <mergeCell ref="B28:C28"/>
    <mergeCell ref="B29:C29"/>
    <mergeCell ref="I10:L10"/>
    <mergeCell ref="N10:N11"/>
    <mergeCell ref="B12:C12"/>
    <mergeCell ref="B13:C13"/>
    <mergeCell ref="B14:C14"/>
    <mergeCell ref="B15:C15"/>
    <mergeCell ref="B16:C16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S1000"/>
  <sheetViews>
    <sheetView workbookViewId="0"/>
  </sheetViews>
  <sheetFormatPr defaultColWidth="14.44140625" defaultRowHeight="15" customHeight="1"/>
  <cols>
    <col min="1" max="1" width="8.6640625" customWidth="1"/>
    <col min="2" max="2" width="15.6640625" customWidth="1"/>
    <col min="3" max="3" width="20.6640625" customWidth="1"/>
    <col min="4" max="8" width="8.6640625" customWidth="1"/>
    <col min="9" max="19" width="8.6640625" hidden="1" customWidth="1"/>
    <col min="20" max="26" width="8.6640625" customWidth="1"/>
  </cols>
  <sheetData>
    <row r="1" spans="2:19" ht="14.25" customHeight="1"/>
    <row r="2" spans="2:19" ht="14.25" customHeight="1">
      <c r="B2" s="29" t="s">
        <v>54</v>
      </c>
      <c r="C2" s="29">
        <f>'CO-PO Indirect Attainment'!D2</f>
        <v>0</v>
      </c>
      <c r="D2" s="29"/>
      <c r="E2" s="29"/>
      <c r="F2" s="29"/>
    </row>
    <row r="3" spans="2:19" ht="14.25" customHeight="1">
      <c r="B3" s="29" t="s">
        <v>56</v>
      </c>
      <c r="C3" s="29">
        <f>'CO-PO Indirect Attainment'!D3</f>
        <v>0</v>
      </c>
      <c r="D3" s="29"/>
      <c r="E3" s="29"/>
      <c r="F3" s="29"/>
    </row>
    <row r="4" spans="2:19" ht="14.25" customHeight="1">
      <c r="B4" s="29" t="s">
        <v>60</v>
      </c>
      <c r="C4" s="38">
        <f>'CO-PO Indirect Attainment'!D4</f>
        <v>0</v>
      </c>
      <c r="D4" s="29"/>
      <c r="E4" s="29"/>
      <c r="F4" s="29"/>
    </row>
    <row r="5" spans="2:19" ht="14.25" customHeight="1">
      <c r="B5" s="29" t="s">
        <v>64</v>
      </c>
      <c r="C5" s="38">
        <f>'CO-PO Indirect Attainment'!D5</f>
        <v>0</v>
      </c>
    </row>
    <row r="6" spans="2:19" ht="14.25" customHeight="1">
      <c r="B6" s="29" t="s">
        <v>65</v>
      </c>
      <c r="C6" s="29">
        <f>'CO-PO Indirect Attainment'!D6</f>
        <v>0</v>
      </c>
      <c r="D6" s="29"/>
      <c r="E6" s="29"/>
      <c r="F6" s="29"/>
    </row>
    <row r="7" spans="2:19" ht="14.25" customHeight="1"/>
    <row r="8" spans="2:19" ht="14.25" customHeight="1">
      <c r="B8" s="29" t="s">
        <v>151</v>
      </c>
    </row>
    <row r="9" spans="2:19" ht="14.25" customHeight="1">
      <c r="B9" s="160" t="s">
        <v>148</v>
      </c>
      <c r="C9" s="20" t="s">
        <v>149</v>
      </c>
      <c r="D9" s="61" t="s">
        <v>39</v>
      </c>
      <c r="E9" s="61" t="s">
        <v>40</v>
      </c>
      <c r="F9" s="61" t="s">
        <v>41</v>
      </c>
      <c r="G9" s="61" t="s">
        <v>42</v>
      </c>
      <c r="H9" s="61" t="s">
        <v>43</v>
      </c>
      <c r="I9" s="61" t="s">
        <v>74</v>
      </c>
      <c r="J9" s="61" t="s">
        <v>75</v>
      </c>
      <c r="K9" s="61" t="s">
        <v>76</v>
      </c>
      <c r="L9" s="61" t="s">
        <v>77</v>
      </c>
      <c r="M9" s="61" t="s">
        <v>78</v>
      </c>
      <c r="N9" s="61" t="s">
        <v>79</v>
      </c>
      <c r="O9" s="61" t="s">
        <v>80</v>
      </c>
      <c r="P9" s="61" t="s">
        <v>81</v>
      </c>
      <c r="Q9" s="61" t="s">
        <v>82</v>
      </c>
      <c r="R9" s="61" t="s">
        <v>83</v>
      </c>
      <c r="S9" s="61" t="s">
        <v>84</v>
      </c>
    </row>
    <row r="10" spans="2:19" ht="14.25" customHeight="1">
      <c r="B10" s="24">
        <f>$C$3</f>
        <v>0</v>
      </c>
      <c r="C10" s="172">
        <f>$C$2</f>
        <v>0</v>
      </c>
      <c r="D10" s="43" t="e">
        <f>'CO-PO Direct Attainment'!#REF!</f>
        <v>#REF!</v>
      </c>
      <c r="E10" s="43" t="e">
        <f>'CO-PO Direct Attainment'!#REF!</f>
        <v>#REF!</v>
      </c>
      <c r="F10" s="43" t="e">
        <f>'CO-PO Direct Attainment'!#REF!</f>
        <v>#REF!</v>
      </c>
      <c r="G10" s="43" t="e">
        <f>'CO-PO Direct Attainment'!#REF!</f>
        <v>#REF!</v>
      </c>
      <c r="H10" s="43" t="e">
        <f>'CO-PO Direct Attainment'!#REF!</f>
        <v>#REF!</v>
      </c>
      <c r="I10" s="43" t="e">
        <f>'CO-PO Direct Attainment'!#REF!</f>
        <v>#REF!</v>
      </c>
      <c r="J10" s="43" t="e">
        <f>'CO-PO Direct Attainment'!#REF!</f>
        <v>#REF!</v>
      </c>
      <c r="K10" s="43" t="e">
        <f>'CO-PO Direct Attainment'!#REF!</f>
        <v>#REF!</v>
      </c>
      <c r="L10" s="43" t="e">
        <f>'CO-PO Direct Attainment'!#REF!</f>
        <v>#REF!</v>
      </c>
      <c r="M10" s="43" t="e">
        <f>'CO-PO Direct Attainment'!#REF!</f>
        <v>#REF!</v>
      </c>
      <c r="N10" s="43" t="e">
        <f>'CO-PO Direct Attainment'!#REF!</f>
        <v>#REF!</v>
      </c>
      <c r="O10" s="43" t="e">
        <f>'CO-PO Direct Attainment'!#REF!</f>
        <v>#REF!</v>
      </c>
      <c r="P10" s="43" t="e">
        <f>'CO-PO Direct Attainment'!#REF!</f>
        <v>#REF!</v>
      </c>
      <c r="Q10" s="43" t="e">
        <f>'CO-PO Direct Attainment'!#REF!</f>
        <v>#REF!</v>
      </c>
      <c r="R10" s="43" t="e">
        <f>'CO-PO Direct Attainment'!#REF!</f>
        <v>#REF!</v>
      </c>
      <c r="S10" s="43" t="e">
        <f>'CO-PO Direct Attainment'!#REF!</f>
        <v>#REF!</v>
      </c>
    </row>
    <row r="11" spans="2:19" ht="14.25" customHeight="1"/>
    <row r="12" spans="2:19" ht="14.25" customHeight="1"/>
    <row r="13" spans="2:19" ht="14.25" customHeight="1">
      <c r="B13" s="29" t="s">
        <v>152</v>
      </c>
    </row>
    <row r="14" spans="2:19" ht="14.25" customHeight="1">
      <c r="B14" s="22"/>
      <c r="C14" s="22"/>
      <c r="D14" s="22"/>
      <c r="E14" s="22"/>
      <c r="F14" s="22"/>
      <c r="G14" s="22"/>
      <c r="H14" s="22"/>
      <c r="I14" s="156"/>
      <c r="J14" s="156"/>
      <c r="K14" s="156"/>
      <c r="L14" s="156"/>
      <c r="M14" s="156"/>
      <c r="N14" s="156"/>
      <c r="O14" s="156"/>
      <c r="P14" s="114"/>
    </row>
    <row r="15" spans="2:19" ht="14.25" customHeight="1">
      <c r="B15" s="160" t="s">
        <v>148</v>
      </c>
      <c r="C15" s="20" t="s">
        <v>149</v>
      </c>
      <c r="D15" s="61" t="s">
        <v>39</v>
      </c>
      <c r="E15" s="61" t="s">
        <v>40</v>
      </c>
      <c r="F15" s="61" t="s">
        <v>41</v>
      </c>
      <c r="G15" s="61" t="s">
        <v>42</v>
      </c>
      <c r="H15" s="61" t="s">
        <v>43</v>
      </c>
      <c r="I15" s="61" t="s">
        <v>74</v>
      </c>
      <c r="J15" s="61" t="s">
        <v>75</v>
      </c>
      <c r="K15" s="61" t="s">
        <v>76</v>
      </c>
      <c r="L15" s="61" t="s">
        <v>77</v>
      </c>
      <c r="M15" s="61" t="s">
        <v>78</v>
      </c>
      <c r="N15" s="61" t="s">
        <v>79</v>
      </c>
      <c r="O15" s="61" t="s">
        <v>80</v>
      </c>
      <c r="P15" s="61" t="s">
        <v>81</v>
      </c>
      <c r="Q15" s="61" t="s">
        <v>82</v>
      </c>
      <c r="R15" s="61" t="s">
        <v>83</v>
      </c>
      <c r="S15" s="61" t="s">
        <v>84</v>
      </c>
    </row>
    <row r="16" spans="2:19" ht="14.25" customHeight="1">
      <c r="B16" s="24">
        <f>$C$3</f>
        <v>0</v>
      </c>
      <c r="C16" s="172">
        <f>$C$2</f>
        <v>0</v>
      </c>
      <c r="D16" s="43" t="e">
        <f>'CO-PO Attainment Endsem'!D61</f>
        <v>#REF!</v>
      </c>
      <c r="E16" s="43" t="e">
        <f>'CO-PO Attainment Endsem'!E61</f>
        <v>#REF!</v>
      </c>
      <c r="F16" s="43" t="e">
        <f>'CO-PO Attainment Endsem'!F61</f>
        <v>#REF!</v>
      </c>
      <c r="G16" s="43" t="e">
        <f>'CO-PO Attainment Endsem'!G61</f>
        <v>#REF!</v>
      </c>
      <c r="H16" s="43" t="e">
        <f>'CO-PO Attainment Endsem'!H61</f>
        <v>#REF!</v>
      </c>
      <c r="I16" s="43" t="e">
        <f>'CO-PO Attainment Endsem'!I61</f>
        <v>#REF!</v>
      </c>
      <c r="J16" s="43" t="e">
        <f>'CO-PO Attainment Endsem'!J61</f>
        <v>#REF!</v>
      </c>
      <c r="K16" s="43" t="e">
        <f>'CO-PO Attainment Endsem'!K61</f>
        <v>#REF!</v>
      </c>
      <c r="L16" s="43" t="e">
        <f>'CO-PO Attainment Endsem'!L61</f>
        <v>#REF!</v>
      </c>
      <c r="M16" s="43" t="e">
        <f>'CO-PO Attainment Endsem'!M61</f>
        <v>#REF!</v>
      </c>
      <c r="N16" s="43" t="e">
        <f>'CO-PO Attainment Endsem'!N61</f>
        <v>#REF!</v>
      </c>
      <c r="O16" s="43" t="e">
        <f>'CO-PO Attainment Endsem'!O61</f>
        <v>#REF!</v>
      </c>
      <c r="P16" s="43" t="e">
        <f>'CO-PO Attainment Endsem'!P61</f>
        <v>#REF!</v>
      </c>
      <c r="Q16" s="43" t="e">
        <f>'CO-PO Attainment Endsem'!Q61</f>
        <v>#REF!</v>
      </c>
      <c r="R16" s="43" t="e">
        <f>'CO-PO Attainment Endsem'!R61</f>
        <v>#REF!</v>
      </c>
      <c r="S16" s="43" t="e">
        <f>'CO-PO Attainment Endsem'!S61</f>
        <v>#REF!</v>
      </c>
    </row>
    <row r="17" spans="2:19" ht="14.25" customHeight="1"/>
    <row r="18" spans="2:19" ht="14.25" customHeight="1"/>
    <row r="19" spans="2:19" ht="14.25" customHeight="1"/>
    <row r="20" spans="2:19" ht="14.25" customHeight="1"/>
    <row r="21" spans="2:19" ht="14.25" customHeight="1">
      <c r="B21" s="29" t="s">
        <v>153</v>
      </c>
    </row>
    <row r="22" spans="2:19" ht="14.25" customHeight="1">
      <c r="B22" s="160" t="s">
        <v>148</v>
      </c>
      <c r="C22" s="160" t="s">
        <v>149</v>
      </c>
      <c r="D22" s="61" t="s">
        <v>39</v>
      </c>
      <c r="E22" s="61" t="s">
        <v>40</v>
      </c>
      <c r="F22" s="61" t="s">
        <v>41</v>
      </c>
      <c r="G22" s="61" t="s">
        <v>42</v>
      </c>
      <c r="H22" s="61" t="s">
        <v>43</v>
      </c>
      <c r="I22" s="61" t="s">
        <v>74</v>
      </c>
      <c r="J22" s="61" t="s">
        <v>75</v>
      </c>
      <c r="K22" s="61" t="s">
        <v>76</v>
      </c>
      <c r="L22" s="61" t="s">
        <v>77</v>
      </c>
      <c r="M22" s="61" t="s">
        <v>78</v>
      </c>
      <c r="N22" s="61" t="s">
        <v>79</v>
      </c>
      <c r="O22" s="61" t="s">
        <v>80</v>
      </c>
      <c r="P22" s="61" t="s">
        <v>81</v>
      </c>
      <c r="Q22" s="61" t="s">
        <v>82</v>
      </c>
      <c r="R22" s="61" t="s">
        <v>83</v>
      </c>
      <c r="S22" s="61" t="s">
        <v>84</v>
      </c>
    </row>
    <row r="23" spans="2:19" ht="14.25" customHeight="1">
      <c r="B23" s="24">
        <f>$C$3</f>
        <v>0</v>
      </c>
      <c r="C23" s="172">
        <f>$C$2</f>
        <v>0</v>
      </c>
      <c r="D23" s="43" t="e">
        <f t="shared" ref="D23:G23" si="0">((0.6*D10)+(0.4*D16))</f>
        <v>#REF!</v>
      </c>
      <c r="E23" s="43" t="e">
        <f t="shared" si="0"/>
        <v>#REF!</v>
      </c>
      <c r="F23" s="43" t="e">
        <f t="shared" si="0"/>
        <v>#REF!</v>
      </c>
      <c r="G23" s="43" t="e">
        <f t="shared" si="0"/>
        <v>#REF!</v>
      </c>
      <c r="H23" s="43" t="e">
        <f t="shared" ref="H23:S23" si="1">0.85*((0.6*H10)+(0.4*H16))</f>
        <v>#REF!</v>
      </c>
      <c r="I23" s="43" t="e">
        <f t="shared" si="1"/>
        <v>#REF!</v>
      </c>
      <c r="J23" s="43" t="e">
        <f t="shared" si="1"/>
        <v>#REF!</v>
      </c>
      <c r="K23" s="43" t="e">
        <f t="shared" si="1"/>
        <v>#REF!</v>
      </c>
      <c r="L23" s="43" t="e">
        <f t="shared" si="1"/>
        <v>#REF!</v>
      </c>
      <c r="M23" s="43" t="e">
        <f t="shared" si="1"/>
        <v>#REF!</v>
      </c>
      <c r="N23" s="43" t="e">
        <f t="shared" si="1"/>
        <v>#REF!</v>
      </c>
      <c r="O23" s="43" t="e">
        <f t="shared" si="1"/>
        <v>#REF!</v>
      </c>
      <c r="P23" s="43" t="e">
        <f t="shared" si="1"/>
        <v>#REF!</v>
      </c>
      <c r="Q23" s="43" t="e">
        <f t="shared" si="1"/>
        <v>#REF!</v>
      </c>
      <c r="R23" s="43" t="e">
        <f t="shared" si="1"/>
        <v>#REF!</v>
      </c>
      <c r="S23" s="43" t="e">
        <f t="shared" si="1"/>
        <v>#REF!</v>
      </c>
    </row>
    <row r="24" spans="2:19" ht="14.25" customHeight="1"/>
    <row r="25" spans="2:19" ht="14.25" customHeight="1"/>
    <row r="26" spans="2:19" ht="14.25" customHeight="1"/>
    <row r="27" spans="2:19" ht="14.25" customHeight="1"/>
    <row r="28" spans="2:19" ht="14.25" customHeight="1"/>
    <row r="29" spans="2:19" ht="14.25" customHeight="1"/>
    <row r="30" spans="2:19" ht="14.25" customHeight="1"/>
    <row r="31" spans="2:19" ht="14.25" customHeight="1"/>
    <row r="32" spans="2:1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989"/>
  <sheetViews>
    <sheetView tabSelected="1" topLeftCell="A10" workbookViewId="0">
      <selection activeCell="C36" sqref="C36"/>
    </sheetView>
  </sheetViews>
  <sheetFormatPr defaultColWidth="14.44140625" defaultRowHeight="15" customHeight="1"/>
  <cols>
    <col min="1" max="1" width="11.88671875" customWidth="1"/>
    <col min="2" max="2" width="12.6640625" customWidth="1"/>
    <col min="3" max="3" width="30" customWidth="1"/>
    <col min="4" max="16" width="10.6640625" customWidth="1"/>
    <col min="17" max="26" width="8.6640625" customWidth="1"/>
  </cols>
  <sheetData>
    <row r="1" spans="1:12" ht="14.25" customHeight="1">
      <c r="I1" s="114"/>
    </row>
    <row r="2" spans="1:12" ht="14.25" customHeight="1">
      <c r="B2" s="286" t="s">
        <v>54</v>
      </c>
      <c r="C2" s="209"/>
      <c r="D2" s="287">
        <f>'Front page'!D2</f>
        <v>0</v>
      </c>
      <c r="E2" s="219"/>
      <c r="F2" s="219"/>
      <c r="G2" s="209"/>
      <c r="I2" s="114"/>
    </row>
    <row r="3" spans="1:12" ht="14.25" customHeight="1">
      <c r="B3" s="286" t="s">
        <v>56</v>
      </c>
      <c r="C3" s="209"/>
      <c r="D3" s="287">
        <f>'Front page'!D3</f>
        <v>0</v>
      </c>
      <c r="E3" s="219"/>
      <c r="F3" s="219"/>
      <c r="G3" s="209"/>
      <c r="I3" s="114"/>
    </row>
    <row r="4" spans="1:12" ht="14.25" customHeight="1">
      <c r="B4" s="286" t="s">
        <v>60</v>
      </c>
      <c r="C4" s="209"/>
      <c r="D4" s="287">
        <f>'Front page'!D9</f>
        <v>0</v>
      </c>
      <c r="E4" s="219"/>
      <c r="F4" s="219"/>
      <c r="G4" s="209"/>
      <c r="I4" s="114"/>
    </row>
    <row r="5" spans="1:12" ht="14.25" customHeight="1">
      <c r="B5" s="286" t="s">
        <v>64</v>
      </c>
      <c r="C5" s="209"/>
      <c r="D5" s="287">
        <f>'Front page'!D10</f>
        <v>0</v>
      </c>
      <c r="E5" s="219"/>
      <c r="F5" s="219"/>
      <c r="G5" s="209"/>
      <c r="I5" s="114"/>
    </row>
    <row r="6" spans="1:12" ht="14.25" customHeight="1">
      <c r="B6" s="286" t="s">
        <v>65</v>
      </c>
      <c r="C6" s="209"/>
      <c r="D6" s="287">
        <f>'Front page'!D11</f>
        <v>0</v>
      </c>
      <c r="E6" s="219"/>
      <c r="F6" s="219"/>
      <c r="G6" s="209"/>
      <c r="I6" s="114"/>
    </row>
    <row r="7" spans="1:12" ht="14.25" customHeight="1">
      <c r="C7" s="29"/>
      <c r="D7" s="226"/>
      <c r="E7" s="223"/>
      <c r="F7" s="223"/>
      <c r="G7" s="223"/>
      <c r="I7" s="114"/>
    </row>
    <row r="8" spans="1:12" ht="14.25" customHeight="1">
      <c r="C8" s="36"/>
      <c r="D8" s="36"/>
      <c r="I8" s="114"/>
    </row>
    <row r="9" spans="1:12" ht="14.25" customHeight="1">
      <c r="C9" s="58"/>
      <c r="D9" s="59"/>
      <c r="I9" s="114"/>
    </row>
    <row r="10" spans="1:12" ht="14.25" customHeight="1">
      <c r="I10" s="114"/>
    </row>
    <row r="11" spans="1:12" ht="15" customHeight="1">
      <c r="B11" s="115"/>
      <c r="C11" s="115"/>
      <c r="D11" s="297" t="s">
        <v>154</v>
      </c>
      <c r="E11" s="204"/>
      <c r="F11" s="204"/>
      <c r="G11" s="204"/>
      <c r="H11" s="204"/>
      <c r="I11" s="204"/>
    </row>
    <row r="12" spans="1:12" ht="61.5" customHeight="1">
      <c r="B12" s="115"/>
      <c r="C12" s="115"/>
      <c r="D12" s="173" t="s">
        <v>155</v>
      </c>
      <c r="E12" s="173" t="s">
        <v>156</v>
      </c>
      <c r="F12" s="173" t="s">
        <v>157</v>
      </c>
      <c r="G12" s="173" t="s">
        <v>158</v>
      </c>
      <c r="H12" s="173" t="s">
        <v>159</v>
      </c>
      <c r="I12" s="291" t="s">
        <v>73</v>
      </c>
      <c r="K12" s="292" t="s">
        <v>160</v>
      </c>
      <c r="L12" s="291" t="s">
        <v>161</v>
      </c>
    </row>
    <row r="13" spans="1:12" ht="14.25" customHeight="1">
      <c r="B13" s="296" t="s">
        <v>162</v>
      </c>
      <c r="C13" s="209"/>
      <c r="D13" s="55">
        <v>5</v>
      </c>
      <c r="E13" s="55">
        <v>4</v>
      </c>
      <c r="F13" s="55">
        <v>3</v>
      </c>
      <c r="G13" s="55">
        <v>2</v>
      </c>
      <c r="H13" s="55">
        <v>1</v>
      </c>
      <c r="I13" s="212"/>
      <c r="K13" s="212"/>
      <c r="L13" s="212"/>
    </row>
    <row r="14" spans="1:12" ht="14.25" customHeight="1">
      <c r="B14" s="290" t="s">
        <v>11</v>
      </c>
      <c r="C14" s="209"/>
      <c r="D14" s="174">
        <v>9</v>
      </c>
      <c r="E14" s="174">
        <v>10</v>
      </c>
      <c r="F14" s="174">
        <v>6</v>
      </c>
      <c r="G14" s="174"/>
      <c r="H14" s="174"/>
      <c r="I14" s="175">
        <f t="shared" ref="I14:I18" si="0">SUM(D14:H14)</f>
        <v>25</v>
      </c>
      <c r="K14" s="176">
        <f>(SUMPRODUCT(D14:H14,D13:H13))/I14</f>
        <v>4.12</v>
      </c>
      <c r="L14" s="177">
        <f>3*K14/5</f>
        <v>2.472</v>
      </c>
    </row>
    <row r="15" spans="1:12" ht="14.25" customHeight="1">
      <c r="A15" s="178" t="s">
        <v>129</v>
      </c>
      <c r="B15" s="290" t="s">
        <v>12</v>
      </c>
      <c r="C15" s="209"/>
      <c r="D15" s="174">
        <v>7</v>
      </c>
      <c r="E15" s="174">
        <v>13</v>
      </c>
      <c r="F15" s="174">
        <v>4</v>
      </c>
      <c r="G15" s="174">
        <v>1</v>
      </c>
      <c r="H15" s="174"/>
      <c r="I15" s="175">
        <f t="shared" si="0"/>
        <v>25</v>
      </c>
      <c r="K15" s="176">
        <f>(SUMPRODUCT(D15:H15,D13:H13))/I15</f>
        <v>4.04</v>
      </c>
      <c r="L15" s="177">
        <f>3*K15/5</f>
        <v>2.4240000000000004</v>
      </c>
    </row>
    <row r="16" spans="1:12" ht="14.25" customHeight="1">
      <c r="B16" s="290" t="s">
        <v>15</v>
      </c>
      <c r="C16" s="209"/>
      <c r="D16" s="174">
        <v>11</v>
      </c>
      <c r="E16" s="174">
        <v>8</v>
      </c>
      <c r="F16" s="174">
        <v>6</v>
      </c>
      <c r="G16" s="174"/>
      <c r="H16" s="174"/>
      <c r="I16" s="175">
        <f t="shared" si="0"/>
        <v>25</v>
      </c>
      <c r="K16" s="176">
        <f t="shared" ref="K16:K17" si="1">SUMPRODUCT((D16:H16)/I16,$D$13:$H$13)</f>
        <v>4.2</v>
      </c>
      <c r="L16" s="177">
        <f>3*K16/5</f>
        <v>2.5200000000000005</v>
      </c>
    </row>
    <row r="17" spans="1:15" ht="14.25" customHeight="1">
      <c r="B17" s="290" t="s">
        <v>16</v>
      </c>
      <c r="C17" s="209"/>
      <c r="D17" s="174">
        <v>10</v>
      </c>
      <c r="E17" s="174">
        <v>10</v>
      </c>
      <c r="F17" s="174">
        <v>5</v>
      </c>
      <c r="G17" s="174"/>
      <c r="H17" s="174"/>
      <c r="I17" s="175">
        <f t="shared" si="0"/>
        <v>25</v>
      </c>
      <c r="K17" s="176">
        <f t="shared" si="1"/>
        <v>4.2</v>
      </c>
      <c r="L17" s="177">
        <f>3*K17/5</f>
        <v>2.5200000000000005</v>
      </c>
    </row>
    <row r="18" spans="1:15" ht="14.25" customHeight="1">
      <c r="B18" s="290" t="s">
        <v>20</v>
      </c>
      <c r="C18" s="209"/>
      <c r="D18" s="179"/>
      <c r="E18" s="179"/>
      <c r="F18" s="179"/>
      <c r="G18" s="127"/>
      <c r="H18" s="127"/>
      <c r="I18" s="175">
        <f t="shared" si="0"/>
        <v>0</v>
      </c>
      <c r="K18" s="176"/>
      <c r="L18" s="177"/>
    </row>
    <row r="19" spans="1:15" ht="14.25" customHeight="1">
      <c r="B19" s="115"/>
      <c r="C19" s="152"/>
      <c r="D19" s="152"/>
      <c r="E19" s="152"/>
      <c r="F19" s="152"/>
      <c r="I19" s="114"/>
    </row>
    <row r="20" spans="1:15" ht="30" customHeight="1">
      <c r="I20" s="114"/>
    </row>
    <row r="21" spans="1:15" ht="30" customHeight="1">
      <c r="B21" s="293" t="s">
        <v>66</v>
      </c>
      <c r="C21" s="243"/>
      <c r="D21" s="243"/>
      <c r="E21" s="243"/>
      <c r="F21" s="243"/>
      <c r="G21" s="243"/>
      <c r="H21" s="244"/>
    </row>
    <row r="22" spans="1:15" ht="30" customHeight="1">
      <c r="B22" s="294" t="s">
        <v>67</v>
      </c>
      <c r="C22" s="209"/>
      <c r="D22" s="168" t="s">
        <v>39</v>
      </c>
      <c r="E22" s="168" t="s">
        <v>40</v>
      </c>
      <c r="F22" s="168" t="s">
        <v>41</v>
      </c>
      <c r="G22" s="168" t="s">
        <v>42</v>
      </c>
      <c r="H22" s="168" t="s">
        <v>43</v>
      </c>
    </row>
    <row r="23" spans="1:15" ht="30" customHeight="1">
      <c r="B23" s="295" t="s">
        <v>11</v>
      </c>
      <c r="C23" s="209"/>
      <c r="D23" s="57">
        <v>3</v>
      </c>
      <c r="E23" s="57">
        <v>2</v>
      </c>
      <c r="F23" s="57">
        <v>3</v>
      </c>
      <c r="G23" s="57">
        <v>2</v>
      </c>
      <c r="H23" s="57">
        <v>0</v>
      </c>
    </row>
    <row r="24" spans="1:15" ht="30" customHeight="1">
      <c r="A24" s="53" t="s">
        <v>144</v>
      </c>
      <c r="B24" s="295" t="s">
        <v>12</v>
      </c>
      <c r="C24" s="209"/>
      <c r="D24" s="57">
        <v>3</v>
      </c>
      <c r="E24" s="57">
        <v>3</v>
      </c>
      <c r="F24" s="57">
        <v>3</v>
      </c>
      <c r="G24" s="57">
        <v>2</v>
      </c>
      <c r="H24" s="57">
        <v>0</v>
      </c>
    </row>
    <row r="25" spans="1:15" ht="14.25" customHeight="1">
      <c r="B25" s="295" t="s">
        <v>15</v>
      </c>
      <c r="C25" s="209"/>
      <c r="D25" s="57">
        <v>3</v>
      </c>
      <c r="E25" s="57">
        <v>1</v>
      </c>
      <c r="F25" s="57">
        <v>3</v>
      </c>
      <c r="G25" s="57">
        <v>2</v>
      </c>
      <c r="H25" s="57">
        <v>1</v>
      </c>
    </row>
    <row r="26" spans="1:15" ht="14.25" customHeight="1">
      <c r="B26" s="295" t="s">
        <v>16</v>
      </c>
      <c r="C26" s="209"/>
      <c r="D26" s="57">
        <v>3</v>
      </c>
      <c r="E26" s="57">
        <v>3</v>
      </c>
      <c r="F26" s="57">
        <v>3</v>
      </c>
      <c r="G26" s="57">
        <v>2</v>
      </c>
      <c r="H26" s="57">
        <v>1</v>
      </c>
    </row>
    <row r="27" spans="1:15" ht="14.25" customHeight="1">
      <c r="B27" s="295" t="s">
        <v>20</v>
      </c>
      <c r="C27" s="209"/>
      <c r="D27" s="57"/>
      <c r="E27" s="57"/>
      <c r="F27" s="57"/>
      <c r="G27" s="57"/>
      <c r="H27" s="57"/>
    </row>
    <row r="28" spans="1:15" ht="18" customHeight="1">
      <c r="I28" s="38"/>
      <c r="J28" s="38"/>
      <c r="K28" s="38"/>
      <c r="L28" s="38"/>
      <c r="M28" s="38"/>
      <c r="N28" s="38"/>
      <c r="O28" s="38"/>
    </row>
    <row r="29" spans="1:15" ht="18" customHeight="1">
      <c r="I29" s="38"/>
      <c r="J29" s="38"/>
      <c r="K29" s="38"/>
      <c r="L29" s="38"/>
      <c r="M29" s="38"/>
      <c r="N29" s="38"/>
      <c r="O29" s="38"/>
    </row>
    <row r="30" spans="1:15" ht="18" customHeight="1">
      <c r="I30" s="30"/>
      <c r="J30" s="157"/>
      <c r="K30" s="157"/>
      <c r="L30" s="157"/>
      <c r="M30" s="157"/>
      <c r="N30" s="157"/>
      <c r="O30" s="157"/>
    </row>
    <row r="31" spans="1:15" ht="14.4">
      <c r="A31" s="298" t="s">
        <v>191</v>
      </c>
      <c r="B31" s="299"/>
      <c r="C31" s="299"/>
      <c r="D31" s="299"/>
      <c r="E31" s="299"/>
      <c r="F31" s="299"/>
      <c r="G31" s="299"/>
      <c r="H31" s="300"/>
    </row>
    <row r="32" spans="1:15" ht="28.2">
      <c r="A32" s="169" t="s">
        <v>147</v>
      </c>
      <c r="B32" s="169" t="s">
        <v>148</v>
      </c>
      <c r="C32" s="169" t="s">
        <v>149</v>
      </c>
      <c r="D32" s="168" t="s">
        <v>39</v>
      </c>
      <c r="E32" s="168" t="s">
        <v>40</v>
      </c>
      <c r="F32" s="168" t="s">
        <v>41</v>
      </c>
      <c r="G32" s="168" t="s">
        <v>42</v>
      </c>
      <c r="H32" s="168" t="s">
        <v>43</v>
      </c>
    </row>
    <row r="33" spans="1:16" ht="18" customHeight="1">
      <c r="A33" s="119">
        <f>$D$4</f>
        <v>0</v>
      </c>
      <c r="B33" s="180">
        <f>$D$3</f>
        <v>0</v>
      </c>
      <c r="C33" s="119">
        <f>$D$2</f>
        <v>0</v>
      </c>
      <c r="D33" s="177">
        <f>((D23*L14)+(D24*L15)+(D25*L16)+(D26*L17)+(D27*L18))/(SUM(D23:D27))</f>
        <v>2.4840000000000004</v>
      </c>
      <c r="E33" s="177">
        <f>((E23*L14)+(E24*L15)+(E25*L16)+(E26*L17)+(E27*L18))/(SUM(E23:E27))</f>
        <v>2.4773333333333336</v>
      </c>
      <c r="F33" s="177">
        <f>((F23*L14)+(F24*L15)+(F25*L16)+(F26*L17)+(F27*L18))/(SUM(F23:F27))</f>
        <v>2.4840000000000004</v>
      </c>
      <c r="G33" s="177">
        <f>((G23*L14)+(G24*L15)+(G25*L16)+(G26*L17)+(G27*L18))/(SUM(G23:G27))</f>
        <v>2.4840000000000004</v>
      </c>
      <c r="H33" s="177">
        <f>((H23*L14)+(H24*L15)+(H25*L16)+(H26*L17)+(H27*L18))/(SUM(H23:H27))</f>
        <v>2.5200000000000005</v>
      </c>
    </row>
    <row r="34" spans="1:16" ht="18" customHeight="1"/>
    <row r="35" spans="1:16" ht="18" customHeight="1"/>
    <row r="36" spans="1:16" ht="18" customHeight="1"/>
    <row r="37" spans="1:16" ht="18" customHeight="1">
      <c r="B37" s="114"/>
      <c r="C37" s="114"/>
      <c r="D37" s="114"/>
      <c r="E37" s="114"/>
      <c r="F37" s="114"/>
      <c r="G37" s="114"/>
      <c r="H37" s="114"/>
    </row>
    <row r="38" spans="1:16" ht="18" customHeight="1">
      <c r="B38" s="114"/>
      <c r="C38" s="114"/>
      <c r="D38" s="114"/>
      <c r="E38" s="114"/>
      <c r="F38" s="114"/>
      <c r="G38" s="114"/>
      <c r="H38" s="114"/>
    </row>
    <row r="39" spans="1:16" ht="18" customHeight="1">
      <c r="B39" s="114"/>
      <c r="C39" s="114"/>
      <c r="D39" s="114"/>
      <c r="E39" s="114"/>
      <c r="F39" s="114"/>
      <c r="G39" s="114"/>
      <c r="H39" s="114"/>
    </row>
    <row r="40" spans="1:16" ht="14.25" customHeight="1">
      <c r="B40" s="114"/>
      <c r="C40" s="114"/>
      <c r="D40" s="114"/>
      <c r="E40" s="114"/>
      <c r="F40" s="114"/>
      <c r="G40" s="114"/>
      <c r="H40" s="114"/>
    </row>
    <row r="41" spans="1:16" ht="15.75" customHeight="1">
      <c r="B41" s="114"/>
      <c r="C41" s="114"/>
      <c r="D41" s="114"/>
      <c r="E41" s="114"/>
      <c r="F41" s="114"/>
      <c r="G41" s="114"/>
      <c r="H41" s="114"/>
    </row>
    <row r="42" spans="1:16" ht="14.25" customHeight="1">
      <c r="B42" s="114"/>
      <c r="C42" s="114"/>
      <c r="D42" s="114"/>
      <c r="E42" s="114"/>
      <c r="F42" s="114"/>
      <c r="G42" s="114"/>
      <c r="H42" s="114"/>
    </row>
    <row r="43" spans="1:16" ht="14.25" customHeight="1">
      <c r="B43" s="114"/>
      <c r="C43" s="114"/>
      <c r="D43" s="114"/>
      <c r="E43" s="114"/>
      <c r="F43" s="114"/>
      <c r="G43" s="114"/>
      <c r="H43" s="114"/>
    </row>
    <row r="44" spans="1:16" ht="14.25" customHeight="1"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</row>
    <row r="45" spans="1:16" ht="14.25" customHeight="1">
      <c r="I45" s="114"/>
      <c r="J45" s="114"/>
      <c r="K45" s="114"/>
      <c r="L45" s="114"/>
      <c r="M45" s="114"/>
      <c r="N45" s="114"/>
      <c r="O45" s="114"/>
      <c r="P45" s="114"/>
    </row>
    <row r="46" spans="1:16" ht="14.25" customHeight="1">
      <c r="I46" s="114"/>
      <c r="J46" s="114"/>
      <c r="K46" s="114"/>
      <c r="L46" s="114"/>
      <c r="M46" s="114"/>
      <c r="N46" s="114"/>
      <c r="O46" s="114"/>
      <c r="P46" s="114"/>
    </row>
    <row r="47" spans="1:16" ht="14.25" customHeight="1">
      <c r="B47" s="37"/>
      <c r="C47" s="37"/>
      <c r="I47" s="114"/>
      <c r="J47" s="114"/>
      <c r="K47" s="114"/>
      <c r="L47" s="114"/>
      <c r="M47" s="114"/>
      <c r="N47" s="114"/>
      <c r="O47" s="114"/>
      <c r="P47" s="114"/>
    </row>
    <row r="48" spans="1:16" ht="14.25" customHeight="1">
      <c r="I48" s="114"/>
      <c r="J48" s="114"/>
      <c r="K48" s="114"/>
      <c r="L48" s="114"/>
      <c r="M48" s="114"/>
      <c r="N48" s="114"/>
      <c r="O48" s="114"/>
      <c r="P48" s="114"/>
    </row>
    <row r="49" spans="9:16" ht="14.25" customHeight="1">
      <c r="I49" s="114"/>
      <c r="J49" s="114"/>
      <c r="K49" s="114"/>
      <c r="L49" s="114"/>
      <c r="M49" s="114"/>
      <c r="N49" s="114"/>
      <c r="O49" s="114"/>
      <c r="P49" s="114"/>
    </row>
    <row r="50" spans="9:16" ht="14.25" customHeight="1">
      <c r="I50" s="114"/>
      <c r="J50" s="114"/>
      <c r="K50" s="114"/>
      <c r="L50" s="114"/>
      <c r="M50" s="114"/>
      <c r="N50" s="114"/>
      <c r="O50" s="114"/>
      <c r="P50" s="114"/>
    </row>
    <row r="51" spans="9:16" ht="14.25" customHeight="1">
      <c r="I51" s="114"/>
      <c r="J51" s="114"/>
      <c r="K51" s="114"/>
      <c r="L51" s="114"/>
      <c r="M51" s="114"/>
      <c r="N51" s="114"/>
      <c r="O51" s="114"/>
      <c r="P51" s="114"/>
    </row>
    <row r="52" spans="9:16" ht="14.25" customHeight="1">
      <c r="I52" s="114"/>
    </row>
    <row r="53" spans="9:16" ht="14.25" customHeight="1">
      <c r="I53" s="114"/>
    </row>
    <row r="54" spans="9:16" ht="14.25" customHeight="1">
      <c r="I54" s="114"/>
    </row>
    <row r="55" spans="9:16" ht="14.25" customHeight="1">
      <c r="I55" s="114"/>
    </row>
    <row r="56" spans="9:16" ht="14.25" customHeight="1">
      <c r="I56" s="114"/>
    </row>
    <row r="57" spans="9:16" ht="14.25" customHeight="1">
      <c r="I57" s="114"/>
    </row>
    <row r="58" spans="9:16" ht="14.25" customHeight="1">
      <c r="I58" s="114"/>
    </row>
    <row r="59" spans="9:16" ht="14.25" customHeight="1">
      <c r="I59" s="114"/>
    </row>
    <row r="60" spans="9:16" ht="14.25" customHeight="1">
      <c r="I60" s="114"/>
    </row>
    <row r="61" spans="9:16" ht="14.25" customHeight="1">
      <c r="I61" s="114"/>
    </row>
    <row r="62" spans="9:16" ht="14.25" customHeight="1">
      <c r="I62" s="114"/>
    </row>
    <row r="63" spans="9:16" ht="14.25" customHeight="1">
      <c r="I63" s="114"/>
    </row>
    <row r="64" spans="9:16" ht="14.25" customHeight="1">
      <c r="I64" s="114"/>
    </row>
    <row r="65" spans="9:9" ht="14.25" customHeight="1">
      <c r="I65" s="114"/>
    </row>
    <row r="66" spans="9:9" ht="14.25" customHeight="1">
      <c r="I66" s="114"/>
    </row>
    <row r="67" spans="9:9" ht="14.25" customHeight="1">
      <c r="I67" s="114"/>
    </row>
    <row r="68" spans="9:9" ht="14.25" customHeight="1">
      <c r="I68" s="114"/>
    </row>
    <row r="69" spans="9:9" ht="14.25" customHeight="1">
      <c r="I69" s="114"/>
    </row>
    <row r="70" spans="9:9" ht="14.25" customHeight="1">
      <c r="I70" s="114"/>
    </row>
    <row r="71" spans="9:9" ht="14.25" customHeight="1">
      <c r="I71" s="114"/>
    </row>
    <row r="72" spans="9:9" ht="14.25" customHeight="1">
      <c r="I72" s="114"/>
    </row>
    <row r="73" spans="9:9" ht="14.25" customHeight="1">
      <c r="I73" s="114"/>
    </row>
    <row r="74" spans="9:9" ht="14.25" customHeight="1">
      <c r="I74" s="114"/>
    </row>
    <row r="75" spans="9:9" ht="14.25" customHeight="1">
      <c r="I75" s="114"/>
    </row>
    <row r="76" spans="9:9" ht="14.25" customHeight="1">
      <c r="I76" s="114"/>
    </row>
    <row r="77" spans="9:9" ht="14.25" customHeight="1">
      <c r="I77" s="114"/>
    </row>
    <row r="78" spans="9:9" ht="14.25" customHeight="1">
      <c r="I78" s="114"/>
    </row>
    <row r="79" spans="9:9" ht="14.25" customHeight="1">
      <c r="I79" s="114"/>
    </row>
    <row r="80" spans="9:9" ht="14.25" customHeight="1">
      <c r="I80" s="114"/>
    </row>
    <row r="81" spans="9:9" ht="14.25" customHeight="1">
      <c r="I81" s="114"/>
    </row>
    <row r="82" spans="9:9" ht="14.25" customHeight="1">
      <c r="I82" s="114"/>
    </row>
    <row r="83" spans="9:9" ht="14.25" customHeight="1">
      <c r="I83" s="114"/>
    </row>
    <row r="84" spans="9:9" ht="14.25" customHeight="1">
      <c r="I84" s="114"/>
    </row>
    <row r="85" spans="9:9" ht="14.25" customHeight="1">
      <c r="I85" s="114"/>
    </row>
    <row r="86" spans="9:9" ht="14.25" customHeight="1">
      <c r="I86" s="114"/>
    </row>
    <row r="87" spans="9:9" ht="14.25" customHeight="1">
      <c r="I87" s="114"/>
    </row>
    <row r="88" spans="9:9" ht="14.25" customHeight="1">
      <c r="I88" s="114"/>
    </row>
    <row r="89" spans="9:9" ht="14.25" customHeight="1">
      <c r="I89" s="114"/>
    </row>
    <row r="90" spans="9:9" ht="14.25" customHeight="1">
      <c r="I90" s="114"/>
    </row>
    <row r="91" spans="9:9" ht="14.25" customHeight="1">
      <c r="I91" s="114"/>
    </row>
    <row r="92" spans="9:9" ht="14.25" customHeight="1">
      <c r="I92" s="114"/>
    </row>
    <row r="93" spans="9:9" ht="14.25" customHeight="1">
      <c r="I93" s="114"/>
    </row>
    <row r="94" spans="9:9" ht="14.25" customHeight="1">
      <c r="I94" s="114"/>
    </row>
    <row r="95" spans="9:9" ht="14.25" customHeight="1">
      <c r="I95" s="114"/>
    </row>
    <row r="96" spans="9:9" ht="14.25" customHeight="1">
      <c r="I96" s="114"/>
    </row>
    <row r="97" spans="9:9" ht="14.25" customHeight="1">
      <c r="I97" s="114"/>
    </row>
    <row r="98" spans="9:9" ht="14.25" customHeight="1">
      <c r="I98" s="114"/>
    </row>
    <row r="99" spans="9:9" ht="14.25" customHeight="1">
      <c r="I99" s="114"/>
    </row>
    <row r="100" spans="9:9" ht="14.25" customHeight="1">
      <c r="I100" s="114"/>
    </row>
    <row r="101" spans="9:9" ht="14.25" customHeight="1">
      <c r="I101" s="114"/>
    </row>
    <row r="102" spans="9:9" ht="14.25" customHeight="1">
      <c r="I102" s="114"/>
    </row>
    <row r="103" spans="9:9" ht="14.25" customHeight="1">
      <c r="I103" s="114"/>
    </row>
    <row r="104" spans="9:9" ht="14.25" customHeight="1">
      <c r="I104" s="114"/>
    </row>
    <row r="105" spans="9:9" ht="14.25" customHeight="1">
      <c r="I105" s="114"/>
    </row>
    <row r="106" spans="9:9" ht="14.25" customHeight="1">
      <c r="I106" s="114"/>
    </row>
    <row r="107" spans="9:9" ht="14.25" customHeight="1">
      <c r="I107" s="114"/>
    </row>
    <row r="108" spans="9:9" ht="14.25" customHeight="1">
      <c r="I108" s="114"/>
    </row>
    <row r="109" spans="9:9" ht="14.25" customHeight="1">
      <c r="I109" s="114"/>
    </row>
    <row r="110" spans="9:9" ht="14.25" customHeight="1">
      <c r="I110" s="114"/>
    </row>
    <row r="111" spans="9:9" ht="14.25" customHeight="1">
      <c r="I111" s="114"/>
    </row>
    <row r="112" spans="9:9" ht="14.25" customHeight="1">
      <c r="I112" s="114"/>
    </row>
    <row r="113" spans="9:9" ht="14.25" customHeight="1">
      <c r="I113" s="114"/>
    </row>
    <row r="114" spans="9:9" ht="14.25" customHeight="1">
      <c r="I114" s="114"/>
    </row>
    <row r="115" spans="9:9" ht="14.25" customHeight="1">
      <c r="I115" s="114"/>
    </row>
    <row r="116" spans="9:9" ht="14.25" customHeight="1">
      <c r="I116" s="114"/>
    </row>
    <row r="117" spans="9:9" ht="14.25" customHeight="1">
      <c r="I117" s="114"/>
    </row>
    <row r="118" spans="9:9" ht="14.25" customHeight="1">
      <c r="I118" s="114"/>
    </row>
    <row r="119" spans="9:9" ht="14.25" customHeight="1">
      <c r="I119" s="114"/>
    </row>
    <row r="120" spans="9:9" ht="14.25" customHeight="1">
      <c r="I120" s="114"/>
    </row>
    <row r="121" spans="9:9" ht="14.25" customHeight="1">
      <c r="I121" s="114"/>
    </row>
    <row r="122" spans="9:9" ht="14.25" customHeight="1">
      <c r="I122" s="114"/>
    </row>
    <row r="123" spans="9:9" ht="14.25" customHeight="1">
      <c r="I123" s="114"/>
    </row>
    <row r="124" spans="9:9" ht="14.25" customHeight="1">
      <c r="I124" s="114"/>
    </row>
    <row r="125" spans="9:9" ht="14.25" customHeight="1">
      <c r="I125" s="114"/>
    </row>
    <row r="126" spans="9:9" ht="14.25" customHeight="1">
      <c r="I126" s="114"/>
    </row>
    <row r="127" spans="9:9" ht="14.25" customHeight="1">
      <c r="I127" s="114"/>
    </row>
    <row r="128" spans="9:9" ht="14.25" customHeight="1">
      <c r="I128" s="114"/>
    </row>
    <row r="129" spans="9:9" ht="14.25" customHeight="1">
      <c r="I129" s="114"/>
    </row>
    <row r="130" spans="9:9" ht="14.25" customHeight="1">
      <c r="I130" s="114"/>
    </row>
    <row r="131" spans="9:9" ht="14.25" customHeight="1">
      <c r="I131" s="114"/>
    </row>
    <row r="132" spans="9:9" ht="14.25" customHeight="1">
      <c r="I132" s="114"/>
    </row>
    <row r="133" spans="9:9" ht="14.25" customHeight="1">
      <c r="I133" s="114"/>
    </row>
    <row r="134" spans="9:9" ht="14.25" customHeight="1">
      <c r="I134" s="114"/>
    </row>
    <row r="135" spans="9:9" ht="14.25" customHeight="1">
      <c r="I135" s="114"/>
    </row>
    <row r="136" spans="9:9" ht="14.25" customHeight="1">
      <c r="I136" s="114"/>
    </row>
    <row r="137" spans="9:9" ht="14.25" customHeight="1">
      <c r="I137" s="114"/>
    </row>
    <row r="138" spans="9:9" ht="14.25" customHeight="1">
      <c r="I138" s="114"/>
    </row>
    <row r="139" spans="9:9" ht="14.25" customHeight="1">
      <c r="I139" s="114"/>
    </row>
    <row r="140" spans="9:9" ht="14.25" customHeight="1">
      <c r="I140" s="114"/>
    </row>
    <row r="141" spans="9:9" ht="14.25" customHeight="1">
      <c r="I141" s="114"/>
    </row>
    <row r="142" spans="9:9" ht="14.25" customHeight="1">
      <c r="I142" s="114"/>
    </row>
    <row r="143" spans="9:9" ht="14.25" customHeight="1">
      <c r="I143" s="114"/>
    </row>
    <row r="144" spans="9:9" ht="14.25" customHeight="1">
      <c r="I144" s="114"/>
    </row>
    <row r="145" spans="9:9" ht="14.25" customHeight="1">
      <c r="I145" s="114"/>
    </row>
    <row r="146" spans="9:9" ht="14.25" customHeight="1">
      <c r="I146" s="114"/>
    </row>
    <row r="147" spans="9:9" ht="14.25" customHeight="1">
      <c r="I147" s="114"/>
    </row>
    <row r="148" spans="9:9" ht="14.25" customHeight="1">
      <c r="I148" s="114"/>
    </row>
    <row r="149" spans="9:9" ht="14.25" customHeight="1">
      <c r="I149" s="114"/>
    </row>
    <row r="150" spans="9:9" ht="14.25" customHeight="1">
      <c r="I150" s="114"/>
    </row>
    <row r="151" spans="9:9" ht="14.25" customHeight="1">
      <c r="I151" s="114"/>
    </row>
    <row r="152" spans="9:9" ht="14.25" customHeight="1">
      <c r="I152" s="114"/>
    </row>
    <row r="153" spans="9:9" ht="14.25" customHeight="1">
      <c r="I153" s="114"/>
    </row>
    <row r="154" spans="9:9" ht="14.25" customHeight="1">
      <c r="I154" s="114"/>
    </row>
    <row r="155" spans="9:9" ht="14.25" customHeight="1">
      <c r="I155" s="114"/>
    </row>
    <row r="156" spans="9:9" ht="14.25" customHeight="1">
      <c r="I156" s="114"/>
    </row>
    <row r="157" spans="9:9" ht="14.25" customHeight="1">
      <c r="I157" s="114"/>
    </row>
    <row r="158" spans="9:9" ht="14.25" customHeight="1">
      <c r="I158" s="114"/>
    </row>
    <row r="159" spans="9:9" ht="14.25" customHeight="1">
      <c r="I159" s="114"/>
    </row>
    <row r="160" spans="9:9" ht="14.25" customHeight="1">
      <c r="I160" s="114"/>
    </row>
    <row r="161" spans="9:9" ht="14.25" customHeight="1">
      <c r="I161" s="114"/>
    </row>
    <row r="162" spans="9:9" ht="14.25" customHeight="1">
      <c r="I162" s="114"/>
    </row>
    <row r="163" spans="9:9" ht="14.25" customHeight="1">
      <c r="I163" s="114"/>
    </row>
    <row r="164" spans="9:9" ht="14.25" customHeight="1">
      <c r="I164" s="114"/>
    </row>
    <row r="165" spans="9:9" ht="14.25" customHeight="1">
      <c r="I165" s="114"/>
    </row>
    <row r="166" spans="9:9" ht="14.25" customHeight="1">
      <c r="I166" s="114"/>
    </row>
    <row r="167" spans="9:9" ht="14.25" customHeight="1">
      <c r="I167" s="114"/>
    </row>
    <row r="168" spans="9:9" ht="14.25" customHeight="1">
      <c r="I168" s="114"/>
    </row>
    <row r="169" spans="9:9" ht="14.25" customHeight="1">
      <c r="I169" s="114"/>
    </row>
    <row r="170" spans="9:9" ht="14.25" customHeight="1">
      <c r="I170" s="114"/>
    </row>
    <row r="171" spans="9:9" ht="14.25" customHeight="1">
      <c r="I171" s="114"/>
    </row>
    <row r="172" spans="9:9" ht="14.25" customHeight="1">
      <c r="I172" s="114"/>
    </row>
    <row r="173" spans="9:9" ht="14.25" customHeight="1">
      <c r="I173" s="114"/>
    </row>
    <row r="174" spans="9:9" ht="14.25" customHeight="1">
      <c r="I174" s="114"/>
    </row>
    <row r="175" spans="9:9" ht="14.25" customHeight="1">
      <c r="I175" s="114"/>
    </row>
    <row r="176" spans="9:9" ht="14.25" customHeight="1">
      <c r="I176" s="114"/>
    </row>
    <row r="177" spans="9:9" ht="14.25" customHeight="1">
      <c r="I177" s="114"/>
    </row>
    <row r="178" spans="9:9" ht="14.25" customHeight="1">
      <c r="I178" s="114"/>
    </row>
    <row r="179" spans="9:9" ht="14.25" customHeight="1">
      <c r="I179" s="114"/>
    </row>
    <row r="180" spans="9:9" ht="14.25" customHeight="1">
      <c r="I180" s="114"/>
    </row>
    <row r="181" spans="9:9" ht="14.25" customHeight="1">
      <c r="I181" s="114"/>
    </row>
    <row r="182" spans="9:9" ht="14.25" customHeight="1">
      <c r="I182" s="114"/>
    </row>
    <row r="183" spans="9:9" ht="14.25" customHeight="1">
      <c r="I183" s="114"/>
    </row>
    <row r="184" spans="9:9" ht="14.25" customHeight="1">
      <c r="I184" s="114"/>
    </row>
    <row r="185" spans="9:9" ht="14.25" customHeight="1">
      <c r="I185" s="114"/>
    </row>
    <row r="186" spans="9:9" ht="14.25" customHeight="1">
      <c r="I186" s="114"/>
    </row>
    <row r="187" spans="9:9" ht="14.25" customHeight="1">
      <c r="I187" s="114"/>
    </row>
    <row r="188" spans="9:9" ht="14.25" customHeight="1">
      <c r="I188" s="114"/>
    </row>
    <row r="189" spans="9:9" ht="14.25" customHeight="1">
      <c r="I189" s="114"/>
    </row>
    <row r="190" spans="9:9" ht="14.25" customHeight="1">
      <c r="I190" s="114"/>
    </row>
    <row r="191" spans="9:9" ht="14.25" customHeight="1">
      <c r="I191" s="114"/>
    </row>
    <row r="192" spans="9:9" ht="14.25" customHeight="1">
      <c r="I192" s="114"/>
    </row>
    <row r="193" spans="9:9" ht="14.25" customHeight="1">
      <c r="I193" s="114"/>
    </row>
    <row r="194" spans="9:9" ht="14.25" customHeight="1">
      <c r="I194" s="114"/>
    </row>
    <row r="195" spans="9:9" ht="14.25" customHeight="1">
      <c r="I195" s="114"/>
    </row>
    <row r="196" spans="9:9" ht="14.25" customHeight="1">
      <c r="I196" s="114"/>
    </row>
    <row r="197" spans="9:9" ht="14.25" customHeight="1">
      <c r="I197" s="114"/>
    </row>
    <row r="198" spans="9:9" ht="14.25" customHeight="1">
      <c r="I198" s="114"/>
    </row>
    <row r="199" spans="9:9" ht="14.25" customHeight="1">
      <c r="I199" s="114"/>
    </row>
    <row r="200" spans="9:9" ht="14.25" customHeight="1">
      <c r="I200" s="114"/>
    </row>
    <row r="201" spans="9:9" ht="14.25" customHeight="1">
      <c r="I201" s="114"/>
    </row>
    <row r="202" spans="9:9" ht="14.25" customHeight="1">
      <c r="I202" s="114"/>
    </row>
    <row r="203" spans="9:9" ht="14.25" customHeight="1">
      <c r="I203" s="114"/>
    </row>
    <row r="204" spans="9:9" ht="14.25" customHeight="1">
      <c r="I204" s="114"/>
    </row>
    <row r="205" spans="9:9" ht="14.25" customHeight="1">
      <c r="I205" s="114"/>
    </row>
    <row r="206" spans="9:9" ht="14.25" customHeight="1">
      <c r="I206" s="114"/>
    </row>
    <row r="207" spans="9:9" ht="14.25" customHeight="1">
      <c r="I207" s="114"/>
    </row>
    <row r="208" spans="9:9" ht="14.25" customHeight="1">
      <c r="I208" s="114"/>
    </row>
    <row r="209" spans="9:9" ht="14.25" customHeight="1">
      <c r="I209" s="114"/>
    </row>
    <row r="210" spans="9:9" ht="14.25" customHeight="1">
      <c r="I210" s="114"/>
    </row>
    <row r="211" spans="9:9" ht="14.25" customHeight="1">
      <c r="I211" s="114"/>
    </row>
    <row r="212" spans="9:9" ht="14.25" customHeight="1">
      <c r="I212" s="114"/>
    </row>
    <row r="213" spans="9:9" ht="14.25" customHeight="1">
      <c r="I213" s="114"/>
    </row>
    <row r="214" spans="9:9" ht="14.25" customHeight="1">
      <c r="I214" s="114"/>
    </row>
    <row r="215" spans="9:9" ht="14.25" customHeight="1">
      <c r="I215" s="114"/>
    </row>
    <row r="216" spans="9:9" ht="14.25" customHeight="1">
      <c r="I216" s="114"/>
    </row>
    <row r="217" spans="9:9" ht="14.25" customHeight="1">
      <c r="I217" s="114"/>
    </row>
    <row r="218" spans="9:9" ht="14.25" customHeight="1">
      <c r="I218" s="114"/>
    </row>
    <row r="219" spans="9:9" ht="14.25" customHeight="1">
      <c r="I219" s="114"/>
    </row>
    <row r="220" spans="9:9" ht="14.25" customHeight="1">
      <c r="I220" s="114"/>
    </row>
    <row r="221" spans="9:9" ht="14.25" customHeight="1">
      <c r="I221" s="114"/>
    </row>
    <row r="222" spans="9:9" ht="14.25" customHeight="1">
      <c r="I222" s="114"/>
    </row>
    <row r="223" spans="9:9" ht="14.25" customHeight="1">
      <c r="I223" s="114"/>
    </row>
    <row r="224" spans="9:9" ht="14.25" customHeight="1">
      <c r="I224" s="114"/>
    </row>
    <row r="225" spans="9:9" ht="14.25" customHeight="1">
      <c r="I225" s="114"/>
    </row>
    <row r="226" spans="9:9" ht="14.25" customHeight="1">
      <c r="I226" s="114"/>
    </row>
    <row r="227" spans="9:9" ht="14.25" customHeight="1">
      <c r="I227" s="114"/>
    </row>
    <row r="228" spans="9:9" ht="14.25" customHeight="1">
      <c r="I228" s="114"/>
    </row>
    <row r="229" spans="9:9" ht="14.25" customHeight="1">
      <c r="I229" s="114"/>
    </row>
    <row r="230" spans="9:9" ht="14.25" customHeight="1">
      <c r="I230" s="114"/>
    </row>
    <row r="231" spans="9:9" ht="14.25" customHeight="1">
      <c r="I231" s="114"/>
    </row>
    <row r="232" spans="9:9" ht="14.25" customHeight="1">
      <c r="I232" s="114"/>
    </row>
    <row r="233" spans="9:9" ht="14.25" customHeight="1">
      <c r="I233" s="114"/>
    </row>
    <row r="234" spans="9:9" ht="14.25" customHeight="1">
      <c r="I234" s="114"/>
    </row>
    <row r="235" spans="9:9" ht="14.25" customHeight="1">
      <c r="I235" s="114"/>
    </row>
    <row r="236" spans="9:9" ht="14.25" customHeight="1">
      <c r="I236" s="114"/>
    </row>
    <row r="237" spans="9:9" ht="14.25" customHeight="1">
      <c r="I237" s="114"/>
    </row>
    <row r="238" spans="9:9" ht="14.25" customHeight="1">
      <c r="I238" s="114"/>
    </row>
    <row r="239" spans="9:9" ht="14.25" customHeight="1">
      <c r="I239" s="114"/>
    </row>
    <row r="240" spans="9:9" ht="14.25" customHeight="1">
      <c r="I240" s="114"/>
    </row>
    <row r="241" spans="9:9" ht="14.25" customHeight="1">
      <c r="I241" s="114"/>
    </row>
    <row r="242" spans="9:9" ht="14.25" customHeight="1">
      <c r="I242" s="114"/>
    </row>
    <row r="243" spans="9:9" ht="14.25" customHeight="1">
      <c r="I243" s="114"/>
    </row>
    <row r="244" spans="9:9" ht="14.25" customHeight="1">
      <c r="I244" s="114"/>
    </row>
    <row r="245" spans="9:9" ht="14.25" customHeight="1">
      <c r="I245" s="114"/>
    </row>
    <row r="246" spans="9:9" ht="14.25" customHeight="1">
      <c r="I246" s="114"/>
    </row>
    <row r="247" spans="9:9" ht="14.25" customHeight="1">
      <c r="I247" s="114"/>
    </row>
    <row r="248" spans="9:9" ht="14.25" customHeight="1">
      <c r="I248" s="114"/>
    </row>
    <row r="249" spans="9:9" ht="14.25" customHeight="1">
      <c r="I249" s="114"/>
    </row>
    <row r="250" spans="9:9" ht="14.25" customHeight="1">
      <c r="I250" s="114"/>
    </row>
    <row r="251" spans="9:9" ht="14.25" customHeight="1">
      <c r="I251" s="114"/>
    </row>
    <row r="252" spans="9:9" ht="14.25" customHeight="1">
      <c r="I252" s="114"/>
    </row>
    <row r="253" spans="9:9" ht="14.25" customHeight="1">
      <c r="I253" s="114"/>
    </row>
    <row r="254" spans="9:9" ht="14.25" customHeight="1">
      <c r="I254" s="114"/>
    </row>
    <row r="255" spans="9:9" ht="14.25" customHeight="1">
      <c r="I255" s="114"/>
    </row>
    <row r="256" spans="9:9" ht="14.25" customHeight="1">
      <c r="I256" s="114"/>
    </row>
    <row r="257" spans="9:9" ht="14.25" customHeight="1">
      <c r="I257" s="114"/>
    </row>
    <row r="258" spans="9:9" ht="14.25" customHeight="1">
      <c r="I258" s="114"/>
    </row>
    <row r="259" spans="9:9" ht="14.25" customHeight="1">
      <c r="I259" s="114"/>
    </row>
    <row r="260" spans="9:9" ht="14.25" customHeight="1">
      <c r="I260" s="114"/>
    </row>
    <row r="261" spans="9:9" ht="14.25" customHeight="1">
      <c r="I261" s="114"/>
    </row>
    <row r="262" spans="9:9" ht="14.25" customHeight="1">
      <c r="I262" s="114"/>
    </row>
    <row r="263" spans="9:9" ht="14.25" customHeight="1">
      <c r="I263" s="114"/>
    </row>
    <row r="264" spans="9:9" ht="14.25" customHeight="1">
      <c r="I264" s="114"/>
    </row>
    <row r="265" spans="9:9" ht="14.25" customHeight="1">
      <c r="I265" s="114"/>
    </row>
    <row r="266" spans="9:9" ht="14.25" customHeight="1">
      <c r="I266" s="114"/>
    </row>
    <row r="267" spans="9:9" ht="14.25" customHeight="1">
      <c r="I267" s="114"/>
    </row>
    <row r="268" spans="9:9" ht="14.25" customHeight="1">
      <c r="I268" s="114"/>
    </row>
    <row r="269" spans="9:9" ht="14.25" customHeight="1">
      <c r="I269" s="114"/>
    </row>
    <row r="270" spans="9:9" ht="14.25" customHeight="1">
      <c r="I270" s="114"/>
    </row>
    <row r="271" spans="9:9" ht="14.25" customHeight="1">
      <c r="I271" s="114"/>
    </row>
    <row r="272" spans="9:9" ht="14.25" customHeight="1">
      <c r="I272" s="114"/>
    </row>
    <row r="273" spans="9:9" ht="14.25" customHeight="1">
      <c r="I273" s="114"/>
    </row>
    <row r="274" spans="9:9" ht="14.25" customHeight="1">
      <c r="I274" s="114"/>
    </row>
    <row r="275" spans="9:9" ht="14.25" customHeight="1">
      <c r="I275" s="114"/>
    </row>
    <row r="276" spans="9:9" ht="14.25" customHeight="1">
      <c r="I276" s="114"/>
    </row>
    <row r="277" spans="9:9" ht="14.25" customHeight="1">
      <c r="I277" s="114"/>
    </row>
    <row r="278" spans="9:9" ht="14.25" customHeight="1">
      <c r="I278" s="114"/>
    </row>
    <row r="279" spans="9:9" ht="14.25" customHeight="1">
      <c r="I279" s="114"/>
    </row>
    <row r="280" spans="9:9" ht="14.25" customHeight="1">
      <c r="I280" s="114"/>
    </row>
    <row r="281" spans="9:9" ht="14.25" customHeight="1">
      <c r="I281" s="114"/>
    </row>
    <row r="282" spans="9:9" ht="14.25" customHeight="1">
      <c r="I282" s="114"/>
    </row>
    <row r="283" spans="9:9" ht="14.25" customHeight="1">
      <c r="I283" s="114"/>
    </row>
    <row r="284" spans="9:9" ht="14.25" customHeight="1">
      <c r="I284" s="114"/>
    </row>
    <row r="285" spans="9:9" ht="14.25" customHeight="1">
      <c r="I285" s="114"/>
    </row>
    <row r="286" spans="9:9" ht="14.25" customHeight="1">
      <c r="I286" s="114"/>
    </row>
    <row r="287" spans="9:9" ht="14.25" customHeight="1">
      <c r="I287" s="114"/>
    </row>
    <row r="288" spans="9:9" ht="14.25" customHeight="1">
      <c r="I288" s="114"/>
    </row>
    <row r="289" spans="9:9" ht="14.25" customHeight="1">
      <c r="I289" s="114"/>
    </row>
    <row r="290" spans="9:9" ht="14.25" customHeight="1">
      <c r="I290" s="114"/>
    </row>
    <row r="291" spans="9:9" ht="14.25" customHeight="1">
      <c r="I291" s="114"/>
    </row>
    <row r="292" spans="9:9" ht="14.25" customHeight="1">
      <c r="I292" s="114"/>
    </row>
    <row r="293" spans="9:9" ht="14.25" customHeight="1">
      <c r="I293" s="114"/>
    </row>
    <row r="294" spans="9:9" ht="14.25" customHeight="1">
      <c r="I294" s="114"/>
    </row>
    <row r="295" spans="9:9" ht="14.25" customHeight="1">
      <c r="I295" s="114"/>
    </row>
    <row r="296" spans="9:9" ht="14.25" customHeight="1">
      <c r="I296" s="114"/>
    </row>
    <row r="297" spans="9:9" ht="14.25" customHeight="1">
      <c r="I297" s="114"/>
    </row>
    <row r="298" spans="9:9" ht="14.25" customHeight="1">
      <c r="I298" s="114"/>
    </row>
    <row r="299" spans="9:9" ht="14.25" customHeight="1">
      <c r="I299" s="114"/>
    </row>
    <row r="300" spans="9:9" ht="14.25" customHeight="1">
      <c r="I300" s="114"/>
    </row>
    <row r="301" spans="9:9" ht="14.25" customHeight="1">
      <c r="I301" s="114"/>
    </row>
    <row r="302" spans="9:9" ht="14.25" customHeight="1">
      <c r="I302" s="114"/>
    </row>
    <row r="303" spans="9:9" ht="14.25" customHeight="1">
      <c r="I303" s="114"/>
    </row>
    <row r="304" spans="9:9" ht="14.25" customHeight="1">
      <c r="I304" s="114"/>
    </row>
    <row r="305" spans="9:9" ht="14.25" customHeight="1">
      <c r="I305" s="114"/>
    </row>
    <row r="306" spans="9:9" ht="14.25" customHeight="1">
      <c r="I306" s="114"/>
    </row>
    <row r="307" spans="9:9" ht="14.25" customHeight="1">
      <c r="I307" s="114"/>
    </row>
    <row r="308" spans="9:9" ht="14.25" customHeight="1">
      <c r="I308" s="114"/>
    </row>
    <row r="309" spans="9:9" ht="14.25" customHeight="1">
      <c r="I309" s="114"/>
    </row>
    <row r="310" spans="9:9" ht="14.25" customHeight="1">
      <c r="I310" s="114"/>
    </row>
    <row r="311" spans="9:9" ht="14.25" customHeight="1">
      <c r="I311" s="114"/>
    </row>
    <row r="312" spans="9:9" ht="14.25" customHeight="1">
      <c r="I312" s="114"/>
    </row>
    <row r="313" spans="9:9" ht="14.25" customHeight="1">
      <c r="I313" s="114"/>
    </row>
    <row r="314" spans="9:9" ht="14.25" customHeight="1">
      <c r="I314" s="114"/>
    </row>
    <row r="315" spans="9:9" ht="14.25" customHeight="1">
      <c r="I315" s="114"/>
    </row>
    <row r="316" spans="9:9" ht="14.25" customHeight="1">
      <c r="I316" s="114"/>
    </row>
    <row r="317" spans="9:9" ht="14.25" customHeight="1">
      <c r="I317" s="114"/>
    </row>
    <row r="318" spans="9:9" ht="14.25" customHeight="1">
      <c r="I318" s="114"/>
    </row>
    <row r="319" spans="9:9" ht="14.25" customHeight="1">
      <c r="I319" s="114"/>
    </row>
    <row r="320" spans="9:9" ht="14.25" customHeight="1">
      <c r="I320" s="114"/>
    </row>
    <row r="321" spans="9:9" ht="14.25" customHeight="1">
      <c r="I321" s="114"/>
    </row>
    <row r="322" spans="9:9" ht="14.25" customHeight="1">
      <c r="I322" s="114"/>
    </row>
    <row r="323" spans="9:9" ht="14.25" customHeight="1">
      <c r="I323" s="114"/>
    </row>
    <row r="324" spans="9:9" ht="14.25" customHeight="1">
      <c r="I324" s="114"/>
    </row>
    <row r="325" spans="9:9" ht="14.25" customHeight="1">
      <c r="I325" s="114"/>
    </row>
    <row r="326" spans="9:9" ht="14.25" customHeight="1">
      <c r="I326" s="114"/>
    </row>
    <row r="327" spans="9:9" ht="14.25" customHeight="1">
      <c r="I327" s="114"/>
    </row>
    <row r="328" spans="9:9" ht="14.25" customHeight="1">
      <c r="I328" s="114"/>
    </row>
    <row r="329" spans="9:9" ht="14.25" customHeight="1">
      <c r="I329" s="114"/>
    </row>
    <row r="330" spans="9:9" ht="14.25" customHeight="1">
      <c r="I330" s="114"/>
    </row>
    <row r="331" spans="9:9" ht="14.25" customHeight="1">
      <c r="I331" s="114"/>
    </row>
    <row r="332" spans="9:9" ht="14.25" customHeight="1">
      <c r="I332" s="114"/>
    </row>
    <row r="333" spans="9:9" ht="14.25" customHeight="1">
      <c r="I333" s="114"/>
    </row>
    <row r="334" spans="9:9" ht="14.25" customHeight="1">
      <c r="I334" s="114"/>
    </row>
    <row r="335" spans="9:9" ht="14.25" customHeight="1">
      <c r="I335" s="114"/>
    </row>
    <row r="336" spans="9:9" ht="14.25" customHeight="1">
      <c r="I336" s="114"/>
    </row>
    <row r="337" spans="9:9" ht="14.25" customHeight="1">
      <c r="I337" s="114"/>
    </row>
    <row r="338" spans="9:9" ht="14.25" customHeight="1">
      <c r="I338" s="114"/>
    </row>
    <row r="339" spans="9:9" ht="14.25" customHeight="1">
      <c r="I339" s="114"/>
    </row>
    <row r="340" spans="9:9" ht="14.25" customHeight="1">
      <c r="I340" s="114"/>
    </row>
    <row r="341" spans="9:9" ht="14.25" customHeight="1">
      <c r="I341" s="114"/>
    </row>
    <row r="342" spans="9:9" ht="14.25" customHeight="1">
      <c r="I342" s="114"/>
    </row>
    <row r="343" spans="9:9" ht="14.25" customHeight="1">
      <c r="I343" s="114"/>
    </row>
    <row r="344" spans="9:9" ht="14.25" customHeight="1">
      <c r="I344" s="114"/>
    </row>
    <row r="345" spans="9:9" ht="14.25" customHeight="1">
      <c r="I345" s="114"/>
    </row>
    <row r="346" spans="9:9" ht="14.25" customHeight="1">
      <c r="I346" s="114"/>
    </row>
    <row r="347" spans="9:9" ht="14.25" customHeight="1">
      <c r="I347" s="114"/>
    </row>
    <row r="348" spans="9:9" ht="14.25" customHeight="1">
      <c r="I348" s="114"/>
    </row>
    <row r="349" spans="9:9" ht="14.25" customHeight="1">
      <c r="I349" s="114"/>
    </row>
    <row r="350" spans="9:9" ht="14.25" customHeight="1">
      <c r="I350" s="114"/>
    </row>
    <row r="351" spans="9:9" ht="14.25" customHeight="1">
      <c r="I351" s="114"/>
    </row>
    <row r="352" spans="9:9" ht="14.25" customHeight="1">
      <c r="I352" s="114"/>
    </row>
    <row r="353" spans="9:9" ht="14.25" customHeight="1">
      <c r="I353" s="114"/>
    </row>
    <row r="354" spans="9:9" ht="14.25" customHeight="1">
      <c r="I354" s="114"/>
    </row>
    <row r="355" spans="9:9" ht="14.25" customHeight="1">
      <c r="I355" s="114"/>
    </row>
    <row r="356" spans="9:9" ht="14.25" customHeight="1">
      <c r="I356" s="114"/>
    </row>
    <row r="357" spans="9:9" ht="14.25" customHeight="1">
      <c r="I357" s="114"/>
    </row>
    <row r="358" spans="9:9" ht="14.25" customHeight="1">
      <c r="I358" s="114"/>
    </row>
    <row r="359" spans="9:9" ht="14.25" customHeight="1">
      <c r="I359" s="114"/>
    </row>
    <row r="360" spans="9:9" ht="14.25" customHeight="1">
      <c r="I360" s="114"/>
    </row>
    <row r="361" spans="9:9" ht="14.25" customHeight="1">
      <c r="I361" s="114"/>
    </row>
    <row r="362" spans="9:9" ht="14.25" customHeight="1">
      <c r="I362" s="114"/>
    </row>
    <row r="363" spans="9:9" ht="14.25" customHeight="1">
      <c r="I363" s="114"/>
    </row>
    <row r="364" spans="9:9" ht="14.25" customHeight="1">
      <c r="I364" s="114"/>
    </row>
    <row r="365" spans="9:9" ht="14.25" customHeight="1">
      <c r="I365" s="114"/>
    </row>
    <row r="366" spans="9:9" ht="14.25" customHeight="1">
      <c r="I366" s="114"/>
    </row>
    <row r="367" spans="9:9" ht="14.25" customHeight="1">
      <c r="I367" s="114"/>
    </row>
    <row r="368" spans="9:9" ht="14.25" customHeight="1">
      <c r="I368" s="114"/>
    </row>
    <row r="369" spans="9:9" ht="14.25" customHeight="1">
      <c r="I369" s="114"/>
    </row>
    <row r="370" spans="9:9" ht="14.25" customHeight="1">
      <c r="I370" s="114"/>
    </row>
    <row r="371" spans="9:9" ht="14.25" customHeight="1">
      <c r="I371" s="114"/>
    </row>
    <row r="372" spans="9:9" ht="14.25" customHeight="1">
      <c r="I372" s="114"/>
    </row>
    <row r="373" spans="9:9" ht="14.25" customHeight="1">
      <c r="I373" s="114"/>
    </row>
    <row r="374" spans="9:9" ht="14.25" customHeight="1">
      <c r="I374" s="114"/>
    </row>
    <row r="375" spans="9:9" ht="14.25" customHeight="1">
      <c r="I375" s="114"/>
    </row>
    <row r="376" spans="9:9" ht="14.25" customHeight="1">
      <c r="I376" s="114"/>
    </row>
    <row r="377" spans="9:9" ht="14.25" customHeight="1">
      <c r="I377" s="114"/>
    </row>
    <row r="378" spans="9:9" ht="14.25" customHeight="1">
      <c r="I378" s="114"/>
    </row>
    <row r="379" spans="9:9" ht="14.25" customHeight="1">
      <c r="I379" s="114"/>
    </row>
    <row r="380" spans="9:9" ht="14.25" customHeight="1">
      <c r="I380" s="114"/>
    </row>
    <row r="381" spans="9:9" ht="14.25" customHeight="1">
      <c r="I381" s="114"/>
    </row>
    <row r="382" spans="9:9" ht="14.25" customHeight="1">
      <c r="I382" s="114"/>
    </row>
    <row r="383" spans="9:9" ht="14.25" customHeight="1">
      <c r="I383" s="114"/>
    </row>
    <row r="384" spans="9:9" ht="14.25" customHeight="1">
      <c r="I384" s="114"/>
    </row>
    <row r="385" spans="9:9" ht="14.25" customHeight="1">
      <c r="I385" s="114"/>
    </row>
    <row r="386" spans="9:9" ht="14.25" customHeight="1">
      <c r="I386" s="114"/>
    </row>
    <row r="387" spans="9:9" ht="14.25" customHeight="1">
      <c r="I387" s="114"/>
    </row>
    <row r="388" spans="9:9" ht="14.25" customHeight="1">
      <c r="I388" s="114"/>
    </row>
    <row r="389" spans="9:9" ht="14.25" customHeight="1">
      <c r="I389" s="114"/>
    </row>
    <row r="390" spans="9:9" ht="14.25" customHeight="1">
      <c r="I390" s="114"/>
    </row>
    <row r="391" spans="9:9" ht="14.25" customHeight="1">
      <c r="I391" s="114"/>
    </row>
    <row r="392" spans="9:9" ht="14.25" customHeight="1">
      <c r="I392" s="114"/>
    </row>
    <row r="393" spans="9:9" ht="14.25" customHeight="1">
      <c r="I393" s="114"/>
    </row>
    <row r="394" spans="9:9" ht="14.25" customHeight="1">
      <c r="I394" s="114"/>
    </row>
    <row r="395" spans="9:9" ht="14.25" customHeight="1">
      <c r="I395" s="114"/>
    </row>
    <row r="396" spans="9:9" ht="14.25" customHeight="1">
      <c r="I396" s="114"/>
    </row>
    <row r="397" spans="9:9" ht="14.25" customHeight="1">
      <c r="I397" s="114"/>
    </row>
    <row r="398" spans="9:9" ht="14.25" customHeight="1">
      <c r="I398" s="114"/>
    </row>
    <row r="399" spans="9:9" ht="14.25" customHeight="1">
      <c r="I399" s="114"/>
    </row>
    <row r="400" spans="9:9" ht="14.25" customHeight="1">
      <c r="I400" s="114"/>
    </row>
    <row r="401" spans="9:9" ht="14.25" customHeight="1">
      <c r="I401" s="114"/>
    </row>
    <row r="402" spans="9:9" ht="14.25" customHeight="1">
      <c r="I402" s="114"/>
    </row>
    <row r="403" spans="9:9" ht="14.25" customHeight="1">
      <c r="I403" s="114"/>
    </row>
    <row r="404" spans="9:9" ht="14.25" customHeight="1">
      <c r="I404" s="114"/>
    </row>
    <row r="405" spans="9:9" ht="14.25" customHeight="1">
      <c r="I405" s="114"/>
    </row>
    <row r="406" spans="9:9" ht="14.25" customHeight="1">
      <c r="I406" s="114"/>
    </row>
    <row r="407" spans="9:9" ht="14.25" customHeight="1">
      <c r="I407" s="114"/>
    </row>
    <row r="408" spans="9:9" ht="14.25" customHeight="1">
      <c r="I408" s="114"/>
    </row>
    <row r="409" spans="9:9" ht="14.25" customHeight="1">
      <c r="I409" s="114"/>
    </row>
    <row r="410" spans="9:9" ht="14.25" customHeight="1">
      <c r="I410" s="114"/>
    </row>
    <row r="411" spans="9:9" ht="14.25" customHeight="1">
      <c r="I411" s="114"/>
    </row>
    <row r="412" spans="9:9" ht="14.25" customHeight="1">
      <c r="I412" s="114"/>
    </row>
    <row r="413" spans="9:9" ht="14.25" customHeight="1">
      <c r="I413" s="114"/>
    </row>
    <row r="414" spans="9:9" ht="14.25" customHeight="1">
      <c r="I414" s="114"/>
    </row>
    <row r="415" spans="9:9" ht="14.25" customHeight="1">
      <c r="I415" s="114"/>
    </row>
    <row r="416" spans="9:9" ht="14.25" customHeight="1">
      <c r="I416" s="114"/>
    </row>
    <row r="417" spans="9:9" ht="14.25" customHeight="1">
      <c r="I417" s="114"/>
    </row>
    <row r="418" spans="9:9" ht="14.25" customHeight="1">
      <c r="I418" s="114"/>
    </row>
    <row r="419" spans="9:9" ht="14.25" customHeight="1">
      <c r="I419" s="114"/>
    </row>
    <row r="420" spans="9:9" ht="14.25" customHeight="1">
      <c r="I420" s="114"/>
    </row>
    <row r="421" spans="9:9" ht="14.25" customHeight="1">
      <c r="I421" s="114"/>
    </row>
    <row r="422" spans="9:9" ht="14.25" customHeight="1">
      <c r="I422" s="114"/>
    </row>
    <row r="423" spans="9:9" ht="14.25" customHeight="1">
      <c r="I423" s="114"/>
    </row>
    <row r="424" spans="9:9" ht="14.25" customHeight="1">
      <c r="I424" s="114"/>
    </row>
    <row r="425" spans="9:9" ht="14.25" customHeight="1">
      <c r="I425" s="114"/>
    </row>
    <row r="426" spans="9:9" ht="14.25" customHeight="1">
      <c r="I426" s="114"/>
    </row>
    <row r="427" spans="9:9" ht="14.25" customHeight="1">
      <c r="I427" s="114"/>
    </row>
    <row r="428" spans="9:9" ht="14.25" customHeight="1">
      <c r="I428" s="114"/>
    </row>
    <row r="429" spans="9:9" ht="14.25" customHeight="1">
      <c r="I429" s="114"/>
    </row>
    <row r="430" spans="9:9" ht="14.25" customHeight="1">
      <c r="I430" s="114"/>
    </row>
    <row r="431" spans="9:9" ht="14.25" customHeight="1">
      <c r="I431" s="114"/>
    </row>
    <row r="432" spans="9:9" ht="14.25" customHeight="1">
      <c r="I432" s="114"/>
    </row>
    <row r="433" spans="9:9" ht="14.25" customHeight="1">
      <c r="I433" s="114"/>
    </row>
    <row r="434" spans="9:9" ht="14.25" customHeight="1">
      <c r="I434" s="114"/>
    </row>
    <row r="435" spans="9:9" ht="14.25" customHeight="1">
      <c r="I435" s="114"/>
    </row>
    <row r="436" spans="9:9" ht="14.25" customHeight="1">
      <c r="I436" s="114"/>
    </row>
    <row r="437" spans="9:9" ht="14.25" customHeight="1">
      <c r="I437" s="114"/>
    </row>
    <row r="438" spans="9:9" ht="14.25" customHeight="1">
      <c r="I438" s="114"/>
    </row>
    <row r="439" spans="9:9" ht="14.25" customHeight="1">
      <c r="I439" s="114"/>
    </row>
    <row r="440" spans="9:9" ht="14.25" customHeight="1">
      <c r="I440" s="114"/>
    </row>
    <row r="441" spans="9:9" ht="14.25" customHeight="1">
      <c r="I441" s="114"/>
    </row>
    <row r="442" spans="9:9" ht="14.25" customHeight="1">
      <c r="I442" s="114"/>
    </row>
    <row r="443" spans="9:9" ht="14.25" customHeight="1">
      <c r="I443" s="114"/>
    </row>
    <row r="444" spans="9:9" ht="14.25" customHeight="1">
      <c r="I444" s="114"/>
    </row>
    <row r="445" spans="9:9" ht="14.25" customHeight="1">
      <c r="I445" s="114"/>
    </row>
    <row r="446" spans="9:9" ht="14.25" customHeight="1">
      <c r="I446" s="114"/>
    </row>
    <row r="447" spans="9:9" ht="14.25" customHeight="1">
      <c r="I447" s="114"/>
    </row>
    <row r="448" spans="9:9" ht="14.25" customHeight="1">
      <c r="I448" s="114"/>
    </row>
    <row r="449" spans="9:9" ht="14.25" customHeight="1">
      <c r="I449" s="114"/>
    </row>
    <row r="450" spans="9:9" ht="14.25" customHeight="1">
      <c r="I450" s="114"/>
    </row>
    <row r="451" spans="9:9" ht="14.25" customHeight="1">
      <c r="I451" s="114"/>
    </row>
    <row r="452" spans="9:9" ht="14.25" customHeight="1">
      <c r="I452" s="114"/>
    </row>
    <row r="453" spans="9:9" ht="14.25" customHeight="1">
      <c r="I453" s="114"/>
    </row>
    <row r="454" spans="9:9" ht="14.25" customHeight="1">
      <c r="I454" s="114"/>
    </row>
    <row r="455" spans="9:9" ht="14.25" customHeight="1">
      <c r="I455" s="114"/>
    </row>
    <row r="456" spans="9:9" ht="14.25" customHeight="1">
      <c r="I456" s="114"/>
    </row>
    <row r="457" spans="9:9" ht="14.25" customHeight="1">
      <c r="I457" s="114"/>
    </row>
    <row r="458" spans="9:9" ht="14.25" customHeight="1">
      <c r="I458" s="114"/>
    </row>
    <row r="459" spans="9:9" ht="14.25" customHeight="1">
      <c r="I459" s="114"/>
    </row>
    <row r="460" spans="9:9" ht="14.25" customHeight="1">
      <c r="I460" s="114"/>
    </row>
    <row r="461" spans="9:9" ht="14.25" customHeight="1">
      <c r="I461" s="114"/>
    </row>
    <row r="462" spans="9:9" ht="14.25" customHeight="1">
      <c r="I462" s="114"/>
    </row>
    <row r="463" spans="9:9" ht="14.25" customHeight="1">
      <c r="I463" s="114"/>
    </row>
    <row r="464" spans="9:9" ht="14.25" customHeight="1">
      <c r="I464" s="114"/>
    </row>
    <row r="465" spans="9:9" ht="14.25" customHeight="1">
      <c r="I465" s="114"/>
    </row>
    <row r="466" spans="9:9" ht="14.25" customHeight="1">
      <c r="I466" s="114"/>
    </row>
    <row r="467" spans="9:9" ht="14.25" customHeight="1">
      <c r="I467" s="114"/>
    </row>
    <row r="468" spans="9:9" ht="14.25" customHeight="1">
      <c r="I468" s="114"/>
    </row>
    <row r="469" spans="9:9" ht="14.25" customHeight="1">
      <c r="I469" s="114"/>
    </row>
    <row r="470" spans="9:9" ht="14.25" customHeight="1">
      <c r="I470" s="114"/>
    </row>
    <row r="471" spans="9:9" ht="14.25" customHeight="1">
      <c r="I471" s="114"/>
    </row>
    <row r="472" spans="9:9" ht="14.25" customHeight="1">
      <c r="I472" s="114"/>
    </row>
    <row r="473" spans="9:9" ht="14.25" customHeight="1">
      <c r="I473" s="114"/>
    </row>
    <row r="474" spans="9:9" ht="14.25" customHeight="1">
      <c r="I474" s="114"/>
    </row>
    <row r="475" spans="9:9" ht="14.25" customHeight="1">
      <c r="I475" s="114"/>
    </row>
    <row r="476" spans="9:9" ht="14.25" customHeight="1">
      <c r="I476" s="114"/>
    </row>
    <row r="477" spans="9:9" ht="14.25" customHeight="1">
      <c r="I477" s="114"/>
    </row>
    <row r="478" spans="9:9" ht="14.25" customHeight="1">
      <c r="I478" s="114"/>
    </row>
    <row r="479" spans="9:9" ht="14.25" customHeight="1">
      <c r="I479" s="114"/>
    </row>
    <row r="480" spans="9:9" ht="14.25" customHeight="1">
      <c r="I480" s="114"/>
    </row>
    <row r="481" spans="9:9" ht="14.25" customHeight="1">
      <c r="I481" s="114"/>
    </row>
    <row r="482" spans="9:9" ht="14.25" customHeight="1">
      <c r="I482" s="114"/>
    </row>
    <row r="483" spans="9:9" ht="14.25" customHeight="1">
      <c r="I483" s="114"/>
    </row>
    <row r="484" spans="9:9" ht="14.25" customHeight="1">
      <c r="I484" s="114"/>
    </row>
    <row r="485" spans="9:9" ht="14.25" customHeight="1">
      <c r="I485" s="114"/>
    </row>
    <row r="486" spans="9:9" ht="14.25" customHeight="1">
      <c r="I486" s="114"/>
    </row>
    <row r="487" spans="9:9" ht="14.25" customHeight="1">
      <c r="I487" s="114"/>
    </row>
    <row r="488" spans="9:9" ht="14.25" customHeight="1">
      <c r="I488" s="114"/>
    </row>
    <row r="489" spans="9:9" ht="14.25" customHeight="1">
      <c r="I489" s="114"/>
    </row>
    <row r="490" spans="9:9" ht="14.25" customHeight="1">
      <c r="I490" s="114"/>
    </row>
    <row r="491" spans="9:9" ht="14.25" customHeight="1">
      <c r="I491" s="114"/>
    </row>
    <row r="492" spans="9:9" ht="14.25" customHeight="1">
      <c r="I492" s="114"/>
    </row>
    <row r="493" spans="9:9" ht="14.25" customHeight="1">
      <c r="I493" s="114"/>
    </row>
    <row r="494" spans="9:9" ht="14.25" customHeight="1">
      <c r="I494" s="114"/>
    </row>
    <row r="495" spans="9:9" ht="14.25" customHeight="1">
      <c r="I495" s="114"/>
    </row>
    <row r="496" spans="9:9" ht="14.25" customHeight="1">
      <c r="I496" s="114"/>
    </row>
    <row r="497" spans="9:9" ht="14.25" customHeight="1">
      <c r="I497" s="114"/>
    </row>
    <row r="498" spans="9:9" ht="14.25" customHeight="1">
      <c r="I498" s="114"/>
    </row>
    <row r="499" spans="9:9" ht="14.25" customHeight="1">
      <c r="I499" s="114"/>
    </row>
    <row r="500" spans="9:9" ht="14.25" customHeight="1">
      <c r="I500" s="114"/>
    </row>
    <row r="501" spans="9:9" ht="14.25" customHeight="1">
      <c r="I501" s="114"/>
    </row>
    <row r="502" spans="9:9" ht="14.25" customHeight="1">
      <c r="I502" s="114"/>
    </row>
    <row r="503" spans="9:9" ht="14.25" customHeight="1">
      <c r="I503" s="114"/>
    </row>
    <row r="504" spans="9:9" ht="14.25" customHeight="1">
      <c r="I504" s="114"/>
    </row>
    <row r="505" spans="9:9" ht="14.25" customHeight="1">
      <c r="I505" s="114"/>
    </row>
    <row r="506" spans="9:9" ht="14.25" customHeight="1">
      <c r="I506" s="114"/>
    </row>
    <row r="507" spans="9:9" ht="14.25" customHeight="1">
      <c r="I507" s="114"/>
    </row>
    <row r="508" spans="9:9" ht="14.25" customHeight="1">
      <c r="I508" s="114"/>
    </row>
    <row r="509" spans="9:9" ht="14.25" customHeight="1">
      <c r="I509" s="114"/>
    </row>
    <row r="510" spans="9:9" ht="14.25" customHeight="1">
      <c r="I510" s="114"/>
    </row>
    <row r="511" spans="9:9" ht="14.25" customHeight="1">
      <c r="I511" s="114"/>
    </row>
    <row r="512" spans="9:9" ht="14.25" customHeight="1">
      <c r="I512" s="114"/>
    </row>
    <row r="513" spans="9:9" ht="14.25" customHeight="1">
      <c r="I513" s="114"/>
    </row>
    <row r="514" spans="9:9" ht="14.25" customHeight="1">
      <c r="I514" s="114"/>
    </row>
    <row r="515" spans="9:9" ht="14.25" customHeight="1">
      <c r="I515" s="114"/>
    </row>
    <row r="516" spans="9:9" ht="14.25" customHeight="1">
      <c r="I516" s="114"/>
    </row>
    <row r="517" spans="9:9" ht="14.25" customHeight="1">
      <c r="I517" s="114"/>
    </row>
    <row r="518" spans="9:9" ht="14.25" customHeight="1">
      <c r="I518" s="114"/>
    </row>
    <row r="519" spans="9:9" ht="14.25" customHeight="1">
      <c r="I519" s="114"/>
    </row>
    <row r="520" spans="9:9" ht="14.25" customHeight="1">
      <c r="I520" s="114"/>
    </row>
    <row r="521" spans="9:9" ht="14.25" customHeight="1">
      <c r="I521" s="114"/>
    </row>
    <row r="522" spans="9:9" ht="14.25" customHeight="1">
      <c r="I522" s="114"/>
    </row>
    <row r="523" spans="9:9" ht="14.25" customHeight="1">
      <c r="I523" s="114"/>
    </row>
    <row r="524" spans="9:9" ht="14.25" customHeight="1">
      <c r="I524" s="114"/>
    </row>
    <row r="525" spans="9:9" ht="14.25" customHeight="1">
      <c r="I525" s="114"/>
    </row>
    <row r="526" spans="9:9" ht="14.25" customHeight="1">
      <c r="I526" s="114"/>
    </row>
    <row r="527" spans="9:9" ht="14.25" customHeight="1">
      <c r="I527" s="114"/>
    </row>
    <row r="528" spans="9:9" ht="14.25" customHeight="1">
      <c r="I528" s="114"/>
    </row>
    <row r="529" spans="9:9" ht="14.25" customHeight="1">
      <c r="I529" s="114"/>
    </row>
    <row r="530" spans="9:9" ht="14.25" customHeight="1">
      <c r="I530" s="114"/>
    </row>
    <row r="531" spans="9:9" ht="14.25" customHeight="1">
      <c r="I531" s="114"/>
    </row>
    <row r="532" spans="9:9" ht="14.25" customHeight="1">
      <c r="I532" s="114"/>
    </row>
    <row r="533" spans="9:9" ht="14.25" customHeight="1">
      <c r="I533" s="114"/>
    </row>
    <row r="534" spans="9:9" ht="14.25" customHeight="1">
      <c r="I534" s="114"/>
    </row>
    <row r="535" spans="9:9" ht="14.25" customHeight="1">
      <c r="I535" s="114"/>
    </row>
    <row r="536" spans="9:9" ht="14.25" customHeight="1">
      <c r="I536" s="114"/>
    </row>
    <row r="537" spans="9:9" ht="14.25" customHeight="1">
      <c r="I537" s="114"/>
    </row>
    <row r="538" spans="9:9" ht="14.25" customHeight="1">
      <c r="I538" s="114"/>
    </row>
    <row r="539" spans="9:9" ht="14.25" customHeight="1">
      <c r="I539" s="114"/>
    </row>
    <row r="540" spans="9:9" ht="14.25" customHeight="1">
      <c r="I540" s="114"/>
    </row>
    <row r="541" spans="9:9" ht="14.25" customHeight="1">
      <c r="I541" s="114"/>
    </row>
    <row r="542" spans="9:9" ht="14.25" customHeight="1">
      <c r="I542" s="114"/>
    </row>
    <row r="543" spans="9:9" ht="14.25" customHeight="1">
      <c r="I543" s="114"/>
    </row>
    <row r="544" spans="9:9" ht="14.25" customHeight="1">
      <c r="I544" s="114"/>
    </row>
    <row r="545" spans="9:9" ht="14.25" customHeight="1">
      <c r="I545" s="114"/>
    </row>
    <row r="546" spans="9:9" ht="14.25" customHeight="1">
      <c r="I546" s="114"/>
    </row>
    <row r="547" spans="9:9" ht="14.25" customHeight="1">
      <c r="I547" s="114"/>
    </row>
    <row r="548" spans="9:9" ht="14.25" customHeight="1">
      <c r="I548" s="114"/>
    </row>
    <row r="549" spans="9:9" ht="14.25" customHeight="1">
      <c r="I549" s="114"/>
    </row>
    <row r="550" spans="9:9" ht="14.25" customHeight="1">
      <c r="I550" s="114"/>
    </row>
    <row r="551" spans="9:9" ht="14.25" customHeight="1">
      <c r="I551" s="114"/>
    </row>
    <row r="552" spans="9:9" ht="14.25" customHeight="1">
      <c r="I552" s="114"/>
    </row>
    <row r="553" spans="9:9" ht="14.25" customHeight="1">
      <c r="I553" s="114"/>
    </row>
    <row r="554" spans="9:9" ht="14.25" customHeight="1">
      <c r="I554" s="114"/>
    </row>
    <row r="555" spans="9:9" ht="14.25" customHeight="1">
      <c r="I555" s="114"/>
    </row>
    <row r="556" spans="9:9" ht="14.25" customHeight="1">
      <c r="I556" s="114"/>
    </row>
    <row r="557" spans="9:9" ht="14.25" customHeight="1">
      <c r="I557" s="114"/>
    </row>
    <row r="558" spans="9:9" ht="14.25" customHeight="1">
      <c r="I558" s="114"/>
    </row>
    <row r="559" spans="9:9" ht="14.25" customHeight="1">
      <c r="I559" s="114"/>
    </row>
    <row r="560" spans="9:9" ht="14.25" customHeight="1">
      <c r="I560" s="114"/>
    </row>
    <row r="561" spans="9:9" ht="14.25" customHeight="1">
      <c r="I561" s="114"/>
    </row>
    <row r="562" spans="9:9" ht="14.25" customHeight="1">
      <c r="I562" s="114"/>
    </row>
    <row r="563" spans="9:9" ht="14.25" customHeight="1">
      <c r="I563" s="114"/>
    </row>
    <row r="564" spans="9:9" ht="14.25" customHeight="1">
      <c r="I564" s="114"/>
    </row>
    <row r="565" spans="9:9" ht="14.25" customHeight="1">
      <c r="I565" s="114"/>
    </row>
    <row r="566" spans="9:9" ht="14.25" customHeight="1">
      <c r="I566" s="114"/>
    </row>
    <row r="567" spans="9:9" ht="14.25" customHeight="1">
      <c r="I567" s="114"/>
    </row>
    <row r="568" spans="9:9" ht="14.25" customHeight="1">
      <c r="I568" s="114"/>
    </row>
    <row r="569" spans="9:9" ht="14.25" customHeight="1">
      <c r="I569" s="114"/>
    </row>
    <row r="570" spans="9:9" ht="14.25" customHeight="1">
      <c r="I570" s="114"/>
    </row>
    <row r="571" spans="9:9" ht="14.25" customHeight="1">
      <c r="I571" s="114"/>
    </row>
    <row r="572" spans="9:9" ht="14.25" customHeight="1">
      <c r="I572" s="114"/>
    </row>
    <row r="573" spans="9:9" ht="14.25" customHeight="1">
      <c r="I573" s="114"/>
    </row>
    <row r="574" spans="9:9" ht="14.25" customHeight="1">
      <c r="I574" s="114"/>
    </row>
    <row r="575" spans="9:9" ht="14.25" customHeight="1">
      <c r="I575" s="114"/>
    </row>
    <row r="576" spans="9:9" ht="14.25" customHeight="1">
      <c r="I576" s="114"/>
    </row>
    <row r="577" spans="9:9" ht="14.25" customHeight="1">
      <c r="I577" s="114"/>
    </row>
    <row r="578" spans="9:9" ht="14.25" customHeight="1">
      <c r="I578" s="114"/>
    </row>
    <row r="579" spans="9:9" ht="14.25" customHeight="1">
      <c r="I579" s="114"/>
    </row>
    <row r="580" spans="9:9" ht="14.25" customHeight="1">
      <c r="I580" s="114"/>
    </row>
    <row r="581" spans="9:9" ht="14.25" customHeight="1">
      <c r="I581" s="114"/>
    </row>
    <row r="582" spans="9:9" ht="14.25" customHeight="1">
      <c r="I582" s="114"/>
    </row>
    <row r="583" spans="9:9" ht="14.25" customHeight="1">
      <c r="I583" s="114"/>
    </row>
    <row r="584" spans="9:9" ht="14.25" customHeight="1">
      <c r="I584" s="114"/>
    </row>
    <row r="585" spans="9:9" ht="14.25" customHeight="1">
      <c r="I585" s="114"/>
    </row>
    <row r="586" spans="9:9" ht="14.25" customHeight="1">
      <c r="I586" s="114"/>
    </row>
    <row r="587" spans="9:9" ht="14.25" customHeight="1">
      <c r="I587" s="114"/>
    </row>
    <row r="588" spans="9:9" ht="14.25" customHeight="1">
      <c r="I588" s="114"/>
    </row>
    <row r="589" spans="9:9" ht="14.25" customHeight="1">
      <c r="I589" s="114"/>
    </row>
    <row r="590" spans="9:9" ht="14.25" customHeight="1">
      <c r="I590" s="114"/>
    </row>
    <row r="591" spans="9:9" ht="14.25" customHeight="1">
      <c r="I591" s="114"/>
    </row>
    <row r="592" spans="9:9" ht="14.25" customHeight="1">
      <c r="I592" s="114"/>
    </row>
    <row r="593" spans="9:9" ht="14.25" customHeight="1">
      <c r="I593" s="114"/>
    </row>
    <row r="594" spans="9:9" ht="14.25" customHeight="1">
      <c r="I594" s="114"/>
    </row>
    <row r="595" spans="9:9" ht="14.25" customHeight="1">
      <c r="I595" s="114"/>
    </row>
    <row r="596" spans="9:9" ht="14.25" customHeight="1">
      <c r="I596" s="114"/>
    </row>
    <row r="597" spans="9:9" ht="14.25" customHeight="1">
      <c r="I597" s="114"/>
    </row>
    <row r="598" spans="9:9" ht="14.25" customHeight="1">
      <c r="I598" s="114"/>
    </row>
    <row r="599" spans="9:9" ht="14.25" customHeight="1">
      <c r="I599" s="114"/>
    </row>
    <row r="600" spans="9:9" ht="14.25" customHeight="1">
      <c r="I600" s="114"/>
    </row>
    <row r="601" spans="9:9" ht="14.25" customHeight="1">
      <c r="I601" s="114"/>
    </row>
    <row r="602" spans="9:9" ht="14.25" customHeight="1">
      <c r="I602" s="114"/>
    </row>
    <row r="603" spans="9:9" ht="14.25" customHeight="1">
      <c r="I603" s="114"/>
    </row>
    <row r="604" spans="9:9" ht="14.25" customHeight="1">
      <c r="I604" s="114"/>
    </row>
    <row r="605" spans="9:9" ht="14.25" customHeight="1">
      <c r="I605" s="114"/>
    </row>
    <row r="606" spans="9:9" ht="14.25" customHeight="1">
      <c r="I606" s="114"/>
    </row>
    <row r="607" spans="9:9" ht="14.25" customHeight="1">
      <c r="I607" s="114"/>
    </row>
    <row r="608" spans="9:9" ht="14.25" customHeight="1">
      <c r="I608" s="114"/>
    </row>
    <row r="609" spans="9:9" ht="14.25" customHeight="1">
      <c r="I609" s="114"/>
    </row>
    <row r="610" spans="9:9" ht="14.25" customHeight="1">
      <c r="I610" s="114"/>
    </row>
    <row r="611" spans="9:9" ht="14.25" customHeight="1">
      <c r="I611" s="114"/>
    </row>
    <row r="612" spans="9:9" ht="14.25" customHeight="1">
      <c r="I612" s="114"/>
    </row>
    <row r="613" spans="9:9" ht="14.25" customHeight="1">
      <c r="I613" s="114"/>
    </row>
    <row r="614" spans="9:9" ht="14.25" customHeight="1">
      <c r="I614" s="114"/>
    </row>
    <row r="615" spans="9:9" ht="14.25" customHeight="1">
      <c r="I615" s="114"/>
    </row>
    <row r="616" spans="9:9" ht="14.25" customHeight="1">
      <c r="I616" s="114"/>
    </row>
    <row r="617" spans="9:9" ht="14.25" customHeight="1">
      <c r="I617" s="114"/>
    </row>
    <row r="618" spans="9:9" ht="14.25" customHeight="1">
      <c r="I618" s="114"/>
    </row>
    <row r="619" spans="9:9" ht="14.25" customHeight="1">
      <c r="I619" s="114"/>
    </row>
    <row r="620" spans="9:9" ht="14.25" customHeight="1">
      <c r="I620" s="114"/>
    </row>
    <row r="621" spans="9:9" ht="14.25" customHeight="1">
      <c r="I621" s="114"/>
    </row>
    <row r="622" spans="9:9" ht="14.25" customHeight="1">
      <c r="I622" s="114"/>
    </row>
    <row r="623" spans="9:9" ht="14.25" customHeight="1">
      <c r="I623" s="114"/>
    </row>
    <row r="624" spans="9:9" ht="14.25" customHeight="1">
      <c r="I624" s="114"/>
    </row>
    <row r="625" spans="9:9" ht="14.25" customHeight="1">
      <c r="I625" s="114"/>
    </row>
    <row r="626" spans="9:9" ht="14.25" customHeight="1">
      <c r="I626" s="114"/>
    </row>
    <row r="627" spans="9:9" ht="14.25" customHeight="1">
      <c r="I627" s="114"/>
    </row>
    <row r="628" spans="9:9" ht="14.25" customHeight="1">
      <c r="I628" s="114"/>
    </row>
    <row r="629" spans="9:9" ht="14.25" customHeight="1">
      <c r="I629" s="114"/>
    </row>
    <row r="630" spans="9:9" ht="14.25" customHeight="1">
      <c r="I630" s="114"/>
    </row>
    <row r="631" spans="9:9" ht="14.25" customHeight="1">
      <c r="I631" s="114"/>
    </row>
    <row r="632" spans="9:9" ht="14.25" customHeight="1">
      <c r="I632" s="114"/>
    </row>
    <row r="633" spans="9:9" ht="14.25" customHeight="1">
      <c r="I633" s="114"/>
    </row>
    <row r="634" spans="9:9" ht="14.25" customHeight="1">
      <c r="I634" s="114"/>
    </row>
    <row r="635" spans="9:9" ht="14.25" customHeight="1">
      <c r="I635" s="114"/>
    </row>
    <row r="636" spans="9:9" ht="14.25" customHeight="1">
      <c r="I636" s="114"/>
    </row>
    <row r="637" spans="9:9" ht="14.25" customHeight="1">
      <c r="I637" s="114"/>
    </row>
    <row r="638" spans="9:9" ht="14.25" customHeight="1">
      <c r="I638" s="114"/>
    </row>
    <row r="639" spans="9:9" ht="14.25" customHeight="1">
      <c r="I639" s="114"/>
    </row>
    <row r="640" spans="9:9" ht="14.25" customHeight="1">
      <c r="I640" s="114"/>
    </row>
    <row r="641" spans="9:9" ht="14.25" customHeight="1">
      <c r="I641" s="114"/>
    </row>
    <row r="642" spans="9:9" ht="14.25" customHeight="1">
      <c r="I642" s="114"/>
    </row>
    <row r="643" spans="9:9" ht="14.25" customHeight="1">
      <c r="I643" s="114"/>
    </row>
    <row r="644" spans="9:9" ht="14.25" customHeight="1">
      <c r="I644" s="114"/>
    </row>
    <row r="645" spans="9:9" ht="14.25" customHeight="1">
      <c r="I645" s="114"/>
    </row>
    <row r="646" spans="9:9" ht="14.25" customHeight="1">
      <c r="I646" s="114"/>
    </row>
    <row r="647" spans="9:9" ht="14.25" customHeight="1">
      <c r="I647" s="114"/>
    </row>
    <row r="648" spans="9:9" ht="14.25" customHeight="1">
      <c r="I648" s="114"/>
    </row>
    <row r="649" spans="9:9" ht="14.25" customHeight="1">
      <c r="I649" s="114"/>
    </row>
    <row r="650" spans="9:9" ht="14.25" customHeight="1">
      <c r="I650" s="114"/>
    </row>
    <row r="651" spans="9:9" ht="14.25" customHeight="1">
      <c r="I651" s="114"/>
    </row>
    <row r="652" spans="9:9" ht="14.25" customHeight="1">
      <c r="I652" s="114"/>
    </row>
    <row r="653" spans="9:9" ht="14.25" customHeight="1">
      <c r="I653" s="114"/>
    </row>
    <row r="654" spans="9:9" ht="14.25" customHeight="1">
      <c r="I654" s="114"/>
    </row>
    <row r="655" spans="9:9" ht="14.25" customHeight="1">
      <c r="I655" s="114"/>
    </row>
    <row r="656" spans="9:9" ht="14.25" customHeight="1">
      <c r="I656" s="114"/>
    </row>
    <row r="657" spans="9:9" ht="14.25" customHeight="1">
      <c r="I657" s="114"/>
    </row>
    <row r="658" spans="9:9" ht="14.25" customHeight="1">
      <c r="I658" s="114"/>
    </row>
    <row r="659" spans="9:9" ht="14.25" customHeight="1">
      <c r="I659" s="114"/>
    </row>
    <row r="660" spans="9:9" ht="14.25" customHeight="1">
      <c r="I660" s="114"/>
    </row>
    <row r="661" spans="9:9" ht="14.25" customHeight="1">
      <c r="I661" s="114"/>
    </row>
    <row r="662" spans="9:9" ht="14.25" customHeight="1">
      <c r="I662" s="114"/>
    </row>
    <row r="663" spans="9:9" ht="14.25" customHeight="1">
      <c r="I663" s="114"/>
    </row>
    <row r="664" spans="9:9" ht="14.25" customHeight="1">
      <c r="I664" s="114"/>
    </row>
    <row r="665" spans="9:9" ht="14.25" customHeight="1">
      <c r="I665" s="114"/>
    </row>
    <row r="666" spans="9:9" ht="14.25" customHeight="1">
      <c r="I666" s="114"/>
    </row>
    <row r="667" spans="9:9" ht="14.25" customHeight="1">
      <c r="I667" s="114"/>
    </row>
    <row r="668" spans="9:9" ht="14.25" customHeight="1">
      <c r="I668" s="114"/>
    </row>
    <row r="669" spans="9:9" ht="14.25" customHeight="1">
      <c r="I669" s="114"/>
    </row>
    <row r="670" spans="9:9" ht="14.25" customHeight="1">
      <c r="I670" s="114"/>
    </row>
    <row r="671" spans="9:9" ht="14.25" customHeight="1">
      <c r="I671" s="114"/>
    </row>
    <row r="672" spans="9:9" ht="14.25" customHeight="1">
      <c r="I672" s="114"/>
    </row>
    <row r="673" spans="9:9" ht="14.25" customHeight="1">
      <c r="I673" s="114"/>
    </row>
    <row r="674" spans="9:9" ht="14.25" customHeight="1">
      <c r="I674" s="114"/>
    </row>
    <row r="675" spans="9:9" ht="14.25" customHeight="1">
      <c r="I675" s="114"/>
    </row>
    <row r="676" spans="9:9" ht="14.25" customHeight="1">
      <c r="I676" s="114"/>
    </row>
    <row r="677" spans="9:9" ht="14.25" customHeight="1">
      <c r="I677" s="114"/>
    </row>
    <row r="678" spans="9:9" ht="14.25" customHeight="1">
      <c r="I678" s="114"/>
    </row>
    <row r="679" spans="9:9" ht="14.25" customHeight="1">
      <c r="I679" s="114"/>
    </row>
    <row r="680" spans="9:9" ht="14.25" customHeight="1">
      <c r="I680" s="114"/>
    </row>
    <row r="681" spans="9:9" ht="14.25" customHeight="1">
      <c r="I681" s="114"/>
    </row>
    <row r="682" spans="9:9" ht="14.25" customHeight="1">
      <c r="I682" s="114"/>
    </row>
    <row r="683" spans="9:9" ht="14.25" customHeight="1">
      <c r="I683" s="114"/>
    </row>
    <row r="684" spans="9:9" ht="14.25" customHeight="1">
      <c r="I684" s="114"/>
    </row>
    <row r="685" spans="9:9" ht="14.25" customHeight="1">
      <c r="I685" s="114"/>
    </row>
    <row r="686" spans="9:9" ht="14.25" customHeight="1">
      <c r="I686" s="114"/>
    </row>
    <row r="687" spans="9:9" ht="14.25" customHeight="1">
      <c r="I687" s="114"/>
    </row>
    <row r="688" spans="9:9" ht="14.25" customHeight="1">
      <c r="I688" s="114"/>
    </row>
    <row r="689" spans="9:9" ht="14.25" customHeight="1">
      <c r="I689" s="114"/>
    </row>
    <row r="690" spans="9:9" ht="14.25" customHeight="1">
      <c r="I690" s="114"/>
    </row>
    <row r="691" spans="9:9" ht="14.25" customHeight="1">
      <c r="I691" s="114"/>
    </row>
    <row r="692" spans="9:9" ht="14.25" customHeight="1">
      <c r="I692" s="114"/>
    </row>
    <row r="693" spans="9:9" ht="14.25" customHeight="1">
      <c r="I693" s="114"/>
    </row>
    <row r="694" spans="9:9" ht="14.25" customHeight="1">
      <c r="I694" s="114"/>
    </row>
    <row r="695" spans="9:9" ht="14.25" customHeight="1">
      <c r="I695" s="114"/>
    </row>
    <row r="696" spans="9:9" ht="14.25" customHeight="1">
      <c r="I696" s="114"/>
    </row>
    <row r="697" spans="9:9" ht="14.25" customHeight="1">
      <c r="I697" s="114"/>
    </row>
    <row r="698" spans="9:9" ht="14.25" customHeight="1">
      <c r="I698" s="114"/>
    </row>
    <row r="699" spans="9:9" ht="14.25" customHeight="1">
      <c r="I699" s="114"/>
    </row>
    <row r="700" spans="9:9" ht="14.25" customHeight="1">
      <c r="I700" s="114"/>
    </row>
    <row r="701" spans="9:9" ht="14.25" customHeight="1">
      <c r="I701" s="114"/>
    </row>
    <row r="702" spans="9:9" ht="14.25" customHeight="1">
      <c r="I702" s="114"/>
    </row>
    <row r="703" spans="9:9" ht="14.25" customHeight="1">
      <c r="I703" s="114"/>
    </row>
    <row r="704" spans="9:9" ht="14.25" customHeight="1">
      <c r="I704" s="114"/>
    </row>
    <row r="705" spans="9:9" ht="14.25" customHeight="1">
      <c r="I705" s="114"/>
    </row>
    <row r="706" spans="9:9" ht="14.25" customHeight="1">
      <c r="I706" s="114"/>
    </row>
    <row r="707" spans="9:9" ht="14.25" customHeight="1">
      <c r="I707" s="114"/>
    </row>
    <row r="708" spans="9:9" ht="14.25" customHeight="1">
      <c r="I708" s="114"/>
    </row>
    <row r="709" spans="9:9" ht="14.25" customHeight="1">
      <c r="I709" s="114"/>
    </row>
    <row r="710" spans="9:9" ht="14.25" customHeight="1">
      <c r="I710" s="114"/>
    </row>
    <row r="711" spans="9:9" ht="14.25" customHeight="1">
      <c r="I711" s="114"/>
    </row>
    <row r="712" spans="9:9" ht="14.25" customHeight="1">
      <c r="I712" s="114"/>
    </row>
    <row r="713" spans="9:9" ht="14.25" customHeight="1">
      <c r="I713" s="114"/>
    </row>
    <row r="714" spans="9:9" ht="14.25" customHeight="1">
      <c r="I714" s="114"/>
    </row>
    <row r="715" spans="9:9" ht="14.25" customHeight="1">
      <c r="I715" s="114"/>
    </row>
    <row r="716" spans="9:9" ht="14.25" customHeight="1">
      <c r="I716" s="114"/>
    </row>
    <row r="717" spans="9:9" ht="14.25" customHeight="1">
      <c r="I717" s="114"/>
    </row>
    <row r="718" spans="9:9" ht="14.25" customHeight="1">
      <c r="I718" s="114"/>
    </row>
    <row r="719" spans="9:9" ht="14.25" customHeight="1">
      <c r="I719" s="114"/>
    </row>
    <row r="720" spans="9:9" ht="14.25" customHeight="1">
      <c r="I720" s="114"/>
    </row>
    <row r="721" spans="9:9" ht="14.25" customHeight="1">
      <c r="I721" s="114"/>
    </row>
    <row r="722" spans="9:9" ht="14.25" customHeight="1">
      <c r="I722" s="114"/>
    </row>
    <row r="723" spans="9:9" ht="14.25" customHeight="1">
      <c r="I723" s="114"/>
    </row>
    <row r="724" spans="9:9" ht="14.25" customHeight="1">
      <c r="I724" s="114"/>
    </row>
    <row r="725" spans="9:9" ht="14.25" customHeight="1">
      <c r="I725" s="114"/>
    </row>
    <row r="726" spans="9:9" ht="14.25" customHeight="1">
      <c r="I726" s="114"/>
    </row>
    <row r="727" spans="9:9" ht="14.25" customHeight="1">
      <c r="I727" s="114"/>
    </row>
    <row r="728" spans="9:9" ht="14.25" customHeight="1">
      <c r="I728" s="114"/>
    </row>
    <row r="729" spans="9:9" ht="14.25" customHeight="1">
      <c r="I729" s="114"/>
    </row>
    <row r="730" spans="9:9" ht="14.25" customHeight="1">
      <c r="I730" s="114"/>
    </row>
    <row r="731" spans="9:9" ht="14.25" customHeight="1">
      <c r="I731" s="114"/>
    </row>
    <row r="732" spans="9:9" ht="14.25" customHeight="1">
      <c r="I732" s="114"/>
    </row>
    <row r="733" spans="9:9" ht="14.25" customHeight="1">
      <c r="I733" s="114"/>
    </row>
    <row r="734" spans="9:9" ht="14.25" customHeight="1">
      <c r="I734" s="114"/>
    </row>
    <row r="735" spans="9:9" ht="14.25" customHeight="1">
      <c r="I735" s="114"/>
    </row>
    <row r="736" spans="9:9" ht="14.25" customHeight="1">
      <c r="I736" s="114"/>
    </row>
    <row r="737" spans="9:9" ht="14.25" customHeight="1">
      <c r="I737" s="114"/>
    </row>
    <row r="738" spans="9:9" ht="14.25" customHeight="1">
      <c r="I738" s="114"/>
    </row>
    <row r="739" spans="9:9" ht="14.25" customHeight="1">
      <c r="I739" s="114"/>
    </row>
    <row r="740" spans="9:9" ht="14.25" customHeight="1">
      <c r="I740" s="114"/>
    </row>
    <row r="741" spans="9:9" ht="14.25" customHeight="1">
      <c r="I741" s="114"/>
    </row>
    <row r="742" spans="9:9" ht="14.25" customHeight="1">
      <c r="I742" s="114"/>
    </row>
    <row r="743" spans="9:9" ht="14.25" customHeight="1">
      <c r="I743" s="114"/>
    </row>
    <row r="744" spans="9:9" ht="14.25" customHeight="1">
      <c r="I744" s="114"/>
    </row>
    <row r="745" spans="9:9" ht="14.25" customHeight="1">
      <c r="I745" s="114"/>
    </row>
    <row r="746" spans="9:9" ht="14.25" customHeight="1">
      <c r="I746" s="114"/>
    </row>
    <row r="747" spans="9:9" ht="14.25" customHeight="1">
      <c r="I747" s="114"/>
    </row>
    <row r="748" spans="9:9" ht="14.25" customHeight="1">
      <c r="I748" s="114"/>
    </row>
    <row r="749" spans="9:9" ht="14.25" customHeight="1">
      <c r="I749" s="114"/>
    </row>
    <row r="750" spans="9:9" ht="14.25" customHeight="1">
      <c r="I750" s="114"/>
    </row>
    <row r="751" spans="9:9" ht="14.25" customHeight="1">
      <c r="I751" s="114"/>
    </row>
    <row r="752" spans="9:9" ht="14.25" customHeight="1">
      <c r="I752" s="114"/>
    </row>
    <row r="753" spans="9:9" ht="14.25" customHeight="1">
      <c r="I753" s="114"/>
    </row>
    <row r="754" spans="9:9" ht="14.25" customHeight="1">
      <c r="I754" s="114"/>
    </row>
    <row r="755" spans="9:9" ht="14.25" customHeight="1">
      <c r="I755" s="114"/>
    </row>
    <row r="756" spans="9:9" ht="14.25" customHeight="1">
      <c r="I756" s="114"/>
    </row>
    <row r="757" spans="9:9" ht="14.25" customHeight="1">
      <c r="I757" s="114"/>
    </row>
    <row r="758" spans="9:9" ht="14.25" customHeight="1">
      <c r="I758" s="114"/>
    </row>
    <row r="759" spans="9:9" ht="14.25" customHeight="1">
      <c r="I759" s="114"/>
    </row>
    <row r="760" spans="9:9" ht="14.25" customHeight="1">
      <c r="I760" s="114"/>
    </row>
    <row r="761" spans="9:9" ht="14.25" customHeight="1">
      <c r="I761" s="114"/>
    </row>
    <row r="762" spans="9:9" ht="14.25" customHeight="1">
      <c r="I762" s="114"/>
    </row>
    <row r="763" spans="9:9" ht="14.25" customHeight="1">
      <c r="I763" s="114"/>
    </row>
    <row r="764" spans="9:9" ht="14.25" customHeight="1">
      <c r="I764" s="114"/>
    </row>
    <row r="765" spans="9:9" ht="14.25" customHeight="1">
      <c r="I765" s="114"/>
    </row>
    <row r="766" spans="9:9" ht="14.25" customHeight="1">
      <c r="I766" s="114"/>
    </row>
    <row r="767" spans="9:9" ht="14.25" customHeight="1">
      <c r="I767" s="114"/>
    </row>
    <row r="768" spans="9:9" ht="14.25" customHeight="1">
      <c r="I768" s="114"/>
    </row>
    <row r="769" spans="9:9" ht="14.25" customHeight="1">
      <c r="I769" s="114"/>
    </row>
    <row r="770" spans="9:9" ht="14.25" customHeight="1">
      <c r="I770" s="114"/>
    </row>
    <row r="771" spans="9:9" ht="14.25" customHeight="1">
      <c r="I771" s="114"/>
    </row>
    <row r="772" spans="9:9" ht="14.25" customHeight="1">
      <c r="I772" s="114"/>
    </row>
    <row r="773" spans="9:9" ht="14.25" customHeight="1">
      <c r="I773" s="114"/>
    </row>
    <row r="774" spans="9:9" ht="14.25" customHeight="1">
      <c r="I774" s="114"/>
    </row>
    <row r="775" spans="9:9" ht="14.25" customHeight="1">
      <c r="I775" s="114"/>
    </row>
    <row r="776" spans="9:9" ht="14.25" customHeight="1">
      <c r="I776" s="114"/>
    </row>
    <row r="777" spans="9:9" ht="14.25" customHeight="1">
      <c r="I777" s="114"/>
    </row>
    <row r="778" spans="9:9" ht="14.25" customHeight="1">
      <c r="I778" s="114"/>
    </row>
    <row r="779" spans="9:9" ht="14.25" customHeight="1">
      <c r="I779" s="114"/>
    </row>
    <row r="780" spans="9:9" ht="14.25" customHeight="1">
      <c r="I780" s="114"/>
    </row>
    <row r="781" spans="9:9" ht="14.25" customHeight="1">
      <c r="I781" s="114"/>
    </row>
    <row r="782" spans="9:9" ht="14.25" customHeight="1">
      <c r="I782" s="114"/>
    </row>
    <row r="783" spans="9:9" ht="14.25" customHeight="1">
      <c r="I783" s="114"/>
    </row>
    <row r="784" spans="9:9" ht="14.25" customHeight="1">
      <c r="I784" s="114"/>
    </row>
    <row r="785" spans="9:9" ht="14.25" customHeight="1">
      <c r="I785" s="114"/>
    </row>
    <row r="786" spans="9:9" ht="14.25" customHeight="1">
      <c r="I786" s="114"/>
    </row>
    <row r="787" spans="9:9" ht="14.25" customHeight="1">
      <c r="I787" s="114"/>
    </row>
    <row r="788" spans="9:9" ht="14.25" customHeight="1">
      <c r="I788" s="114"/>
    </row>
    <row r="789" spans="9:9" ht="14.25" customHeight="1">
      <c r="I789" s="114"/>
    </row>
    <row r="790" spans="9:9" ht="14.25" customHeight="1">
      <c r="I790" s="114"/>
    </row>
    <row r="791" spans="9:9" ht="14.25" customHeight="1">
      <c r="I791" s="114"/>
    </row>
    <row r="792" spans="9:9" ht="14.25" customHeight="1">
      <c r="I792" s="114"/>
    </row>
    <row r="793" spans="9:9" ht="14.25" customHeight="1">
      <c r="I793" s="114"/>
    </row>
    <row r="794" spans="9:9" ht="14.25" customHeight="1">
      <c r="I794" s="114"/>
    </row>
    <row r="795" spans="9:9" ht="14.25" customHeight="1">
      <c r="I795" s="114"/>
    </row>
    <row r="796" spans="9:9" ht="14.25" customHeight="1">
      <c r="I796" s="114"/>
    </row>
    <row r="797" spans="9:9" ht="14.25" customHeight="1">
      <c r="I797" s="114"/>
    </row>
    <row r="798" spans="9:9" ht="14.25" customHeight="1">
      <c r="I798" s="114"/>
    </row>
    <row r="799" spans="9:9" ht="14.25" customHeight="1">
      <c r="I799" s="114"/>
    </row>
    <row r="800" spans="9:9" ht="14.25" customHeight="1">
      <c r="I800" s="114"/>
    </row>
    <row r="801" spans="9:9" ht="14.25" customHeight="1">
      <c r="I801" s="114"/>
    </row>
    <row r="802" spans="9:9" ht="14.25" customHeight="1">
      <c r="I802" s="114"/>
    </row>
    <row r="803" spans="9:9" ht="14.25" customHeight="1">
      <c r="I803" s="114"/>
    </row>
    <row r="804" spans="9:9" ht="14.25" customHeight="1">
      <c r="I804" s="114"/>
    </row>
    <row r="805" spans="9:9" ht="14.25" customHeight="1">
      <c r="I805" s="114"/>
    </row>
    <row r="806" spans="9:9" ht="14.25" customHeight="1">
      <c r="I806" s="114"/>
    </row>
    <row r="807" spans="9:9" ht="14.25" customHeight="1">
      <c r="I807" s="114"/>
    </row>
    <row r="808" spans="9:9" ht="14.25" customHeight="1">
      <c r="I808" s="114"/>
    </row>
    <row r="809" spans="9:9" ht="14.25" customHeight="1">
      <c r="I809" s="114"/>
    </row>
    <row r="810" spans="9:9" ht="14.25" customHeight="1">
      <c r="I810" s="114"/>
    </row>
    <row r="811" spans="9:9" ht="14.25" customHeight="1">
      <c r="I811" s="114"/>
    </row>
    <row r="812" spans="9:9" ht="14.25" customHeight="1">
      <c r="I812" s="114"/>
    </row>
    <row r="813" spans="9:9" ht="14.25" customHeight="1">
      <c r="I813" s="114"/>
    </row>
    <row r="814" spans="9:9" ht="14.25" customHeight="1">
      <c r="I814" s="114"/>
    </row>
    <row r="815" spans="9:9" ht="14.25" customHeight="1">
      <c r="I815" s="114"/>
    </row>
    <row r="816" spans="9:9" ht="14.25" customHeight="1">
      <c r="I816" s="114"/>
    </row>
    <row r="817" spans="9:9" ht="14.25" customHeight="1">
      <c r="I817" s="114"/>
    </row>
    <row r="818" spans="9:9" ht="14.25" customHeight="1">
      <c r="I818" s="114"/>
    </row>
    <row r="819" spans="9:9" ht="14.25" customHeight="1">
      <c r="I819" s="114"/>
    </row>
    <row r="820" spans="9:9" ht="14.25" customHeight="1">
      <c r="I820" s="114"/>
    </row>
    <row r="821" spans="9:9" ht="14.25" customHeight="1">
      <c r="I821" s="114"/>
    </row>
    <row r="822" spans="9:9" ht="14.25" customHeight="1">
      <c r="I822" s="114"/>
    </row>
    <row r="823" spans="9:9" ht="14.25" customHeight="1">
      <c r="I823" s="114"/>
    </row>
    <row r="824" spans="9:9" ht="14.25" customHeight="1">
      <c r="I824" s="114"/>
    </row>
    <row r="825" spans="9:9" ht="14.25" customHeight="1">
      <c r="I825" s="114"/>
    </row>
    <row r="826" spans="9:9" ht="14.25" customHeight="1">
      <c r="I826" s="114"/>
    </row>
    <row r="827" spans="9:9" ht="14.25" customHeight="1">
      <c r="I827" s="114"/>
    </row>
    <row r="828" spans="9:9" ht="14.25" customHeight="1">
      <c r="I828" s="114"/>
    </row>
    <row r="829" spans="9:9" ht="14.25" customHeight="1">
      <c r="I829" s="114"/>
    </row>
    <row r="830" spans="9:9" ht="14.25" customHeight="1">
      <c r="I830" s="114"/>
    </row>
    <row r="831" spans="9:9" ht="14.25" customHeight="1">
      <c r="I831" s="114"/>
    </row>
    <row r="832" spans="9:9" ht="14.25" customHeight="1">
      <c r="I832" s="114"/>
    </row>
    <row r="833" spans="9:9" ht="14.25" customHeight="1">
      <c r="I833" s="114"/>
    </row>
    <row r="834" spans="9:9" ht="14.25" customHeight="1">
      <c r="I834" s="114"/>
    </row>
    <row r="835" spans="9:9" ht="14.25" customHeight="1">
      <c r="I835" s="114"/>
    </row>
    <row r="836" spans="9:9" ht="14.25" customHeight="1">
      <c r="I836" s="114"/>
    </row>
    <row r="837" spans="9:9" ht="14.25" customHeight="1">
      <c r="I837" s="114"/>
    </row>
    <row r="838" spans="9:9" ht="14.25" customHeight="1">
      <c r="I838" s="114"/>
    </row>
    <row r="839" spans="9:9" ht="14.25" customHeight="1">
      <c r="I839" s="114"/>
    </row>
    <row r="840" spans="9:9" ht="14.25" customHeight="1">
      <c r="I840" s="114"/>
    </row>
    <row r="841" spans="9:9" ht="14.25" customHeight="1">
      <c r="I841" s="114"/>
    </row>
    <row r="842" spans="9:9" ht="14.25" customHeight="1">
      <c r="I842" s="114"/>
    </row>
    <row r="843" spans="9:9" ht="14.25" customHeight="1">
      <c r="I843" s="114"/>
    </row>
    <row r="844" spans="9:9" ht="14.25" customHeight="1">
      <c r="I844" s="114"/>
    </row>
    <row r="845" spans="9:9" ht="14.25" customHeight="1">
      <c r="I845" s="114"/>
    </row>
    <row r="846" spans="9:9" ht="14.25" customHeight="1">
      <c r="I846" s="114"/>
    </row>
    <row r="847" spans="9:9" ht="14.25" customHeight="1">
      <c r="I847" s="114"/>
    </row>
    <row r="848" spans="9:9" ht="14.25" customHeight="1">
      <c r="I848" s="114"/>
    </row>
    <row r="849" spans="9:9" ht="14.25" customHeight="1">
      <c r="I849" s="114"/>
    </row>
    <row r="850" spans="9:9" ht="14.25" customHeight="1">
      <c r="I850" s="114"/>
    </row>
    <row r="851" spans="9:9" ht="14.25" customHeight="1">
      <c r="I851" s="114"/>
    </row>
    <row r="852" spans="9:9" ht="14.25" customHeight="1">
      <c r="I852" s="114"/>
    </row>
    <row r="853" spans="9:9" ht="14.25" customHeight="1">
      <c r="I853" s="114"/>
    </row>
    <row r="854" spans="9:9" ht="14.25" customHeight="1">
      <c r="I854" s="114"/>
    </row>
    <row r="855" spans="9:9" ht="14.25" customHeight="1">
      <c r="I855" s="114"/>
    </row>
    <row r="856" spans="9:9" ht="14.25" customHeight="1">
      <c r="I856" s="114"/>
    </row>
    <row r="857" spans="9:9" ht="14.25" customHeight="1">
      <c r="I857" s="114"/>
    </row>
    <row r="858" spans="9:9" ht="14.25" customHeight="1">
      <c r="I858" s="114"/>
    </row>
    <row r="859" spans="9:9" ht="14.25" customHeight="1">
      <c r="I859" s="114"/>
    </row>
    <row r="860" spans="9:9" ht="14.25" customHeight="1">
      <c r="I860" s="114"/>
    </row>
    <row r="861" spans="9:9" ht="14.25" customHeight="1">
      <c r="I861" s="114"/>
    </row>
    <row r="862" spans="9:9" ht="14.25" customHeight="1">
      <c r="I862" s="114"/>
    </row>
    <row r="863" spans="9:9" ht="14.25" customHeight="1">
      <c r="I863" s="114"/>
    </row>
    <row r="864" spans="9:9" ht="14.25" customHeight="1">
      <c r="I864" s="114"/>
    </row>
    <row r="865" spans="9:9" ht="14.25" customHeight="1">
      <c r="I865" s="114"/>
    </row>
    <row r="866" spans="9:9" ht="14.25" customHeight="1">
      <c r="I866" s="114"/>
    </row>
    <row r="867" spans="9:9" ht="14.25" customHeight="1">
      <c r="I867" s="114"/>
    </row>
    <row r="868" spans="9:9" ht="14.25" customHeight="1">
      <c r="I868" s="114"/>
    </row>
    <row r="869" spans="9:9" ht="14.25" customHeight="1">
      <c r="I869" s="114"/>
    </row>
    <row r="870" spans="9:9" ht="14.25" customHeight="1">
      <c r="I870" s="114"/>
    </row>
    <row r="871" spans="9:9" ht="14.25" customHeight="1">
      <c r="I871" s="114"/>
    </row>
    <row r="872" spans="9:9" ht="14.25" customHeight="1">
      <c r="I872" s="114"/>
    </row>
    <row r="873" spans="9:9" ht="14.25" customHeight="1">
      <c r="I873" s="114"/>
    </row>
    <row r="874" spans="9:9" ht="14.25" customHeight="1">
      <c r="I874" s="114"/>
    </row>
    <row r="875" spans="9:9" ht="14.25" customHeight="1">
      <c r="I875" s="114"/>
    </row>
    <row r="876" spans="9:9" ht="14.25" customHeight="1">
      <c r="I876" s="114"/>
    </row>
    <row r="877" spans="9:9" ht="14.25" customHeight="1">
      <c r="I877" s="114"/>
    </row>
    <row r="878" spans="9:9" ht="14.25" customHeight="1">
      <c r="I878" s="114"/>
    </row>
    <row r="879" spans="9:9" ht="14.25" customHeight="1">
      <c r="I879" s="114"/>
    </row>
    <row r="880" spans="9:9" ht="14.25" customHeight="1">
      <c r="I880" s="114"/>
    </row>
    <row r="881" spans="9:9" ht="14.25" customHeight="1">
      <c r="I881" s="114"/>
    </row>
    <row r="882" spans="9:9" ht="14.25" customHeight="1">
      <c r="I882" s="114"/>
    </row>
    <row r="883" spans="9:9" ht="14.25" customHeight="1">
      <c r="I883" s="114"/>
    </row>
    <row r="884" spans="9:9" ht="14.25" customHeight="1">
      <c r="I884" s="114"/>
    </row>
    <row r="885" spans="9:9" ht="14.25" customHeight="1">
      <c r="I885" s="114"/>
    </row>
    <row r="886" spans="9:9" ht="14.25" customHeight="1">
      <c r="I886" s="114"/>
    </row>
    <row r="887" spans="9:9" ht="14.25" customHeight="1">
      <c r="I887" s="114"/>
    </row>
    <row r="888" spans="9:9" ht="14.25" customHeight="1">
      <c r="I888" s="114"/>
    </row>
    <row r="889" spans="9:9" ht="14.25" customHeight="1">
      <c r="I889" s="114"/>
    </row>
    <row r="890" spans="9:9" ht="14.25" customHeight="1">
      <c r="I890" s="114"/>
    </row>
    <row r="891" spans="9:9" ht="14.25" customHeight="1">
      <c r="I891" s="114"/>
    </row>
    <row r="892" spans="9:9" ht="14.25" customHeight="1">
      <c r="I892" s="114"/>
    </row>
    <row r="893" spans="9:9" ht="14.25" customHeight="1">
      <c r="I893" s="114"/>
    </row>
    <row r="894" spans="9:9" ht="14.25" customHeight="1">
      <c r="I894" s="114"/>
    </row>
    <row r="895" spans="9:9" ht="14.25" customHeight="1">
      <c r="I895" s="114"/>
    </row>
    <row r="896" spans="9:9" ht="14.25" customHeight="1">
      <c r="I896" s="114"/>
    </row>
    <row r="897" spans="9:9" ht="14.25" customHeight="1">
      <c r="I897" s="114"/>
    </row>
    <row r="898" spans="9:9" ht="14.25" customHeight="1">
      <c r="I898" s="114"/>
    </row>
    <row r="899" spans="9:9" ht="14.25" customHeight="1">
      <c r="I899" s="114"/>
    </row>
    <row r="900" spans="9:9" ht="14.25" customHeight="1">
      <c r="I900" s="114"/>
    </row>
    <row r="901" spans="9:9" ht="14.25" customHeight="1">
      <c r="I901" s="114"/>
    </row>
    <row r="902" spans="9:9" ht="14.25" customHeight="1">
      <c r="I902" s="114"/>
    </row>
    <row r="903" spans="9:9" ht="14.25" customHeight="1">
      <c r="I903" s="114"/>
    </row>
    <row r="904" spans="9:9" ht="14.25" customHeight="1">
      <c r="I904" s="114"/>
    </row>
    <row r="905" spans="9:9" ht="14.25" customHeight="1">
      <c r="I905" s="114"/>
    </row>
    <row r="906" spans="9:9" ht="14.25" customHeight="1">
      <c r="I906" s="114"/>
    </row>
    <row r="907" spans="9:9" ht="14.25" customHeight="1">
      <c r="I907" s="114"/>
    </row>
    <row r="908" spans="9:9" ht="14.25" customHeight="1">
      <c r="I908" s="114"/>
    </row>
    <row r="909" spans="9:9" ht="14.25" customHeight="1">
      <c r="I909" s="114"/>
    </row>
    <row r="910" spans="9:9" ht="14.25" customHeight="1">
      <c r="I910" s="114"/>
    </row>
    <row r="911" spans="9:9" ht="14.25" customHeight="1">
      <c r="I911" s="114"/>
    </row>
    <row r="912" spans="9:9" ht="14.25" customHeight="1">
      <c r="I912" s="114"/>
    </row>
    <row r="913" spans="9:9" ht="14.25" customHeight="1">
      <c r="I913" s="114"/>
    </row>
    <row r="914" spans="9:9" ht="14.25" customHeight="1">
      <c r="I914" s="114"/>
    </row>
    <row r="915" spans="9:9" ht="14.25" customHeight="1">
      <c r="I915" s="114"/>
    </row>
    <row r="916" spans="9:9" ht="14.25" customHeight="1">
      <c r="I916" s="114"/>
    </row>
    <row r="917" spans="9:9" ht="14.25" customHeight="1">
      <c r="I917" s="114"/>
    </row>
    <row r="918" spans="9:9" ht="14.25" customHeight="1">
      <c r="I918" s="114"/>
    </row>
    <row r="919" spans="9:9" ht="14.25" customHeight="1">
      <c r="I919" s="114"/>
    </row>
    <row r="920" spans="9:9" ht="14.25" customHeight="1">
      <c r="I920" s="114"/>
    </row>
    <row r="921" spans="9:9" ht="14.25" customHeight="1">
      <c r="I921" s="114"/>
    </row>
    <row r="922" spans="9:9" ht="14.25" customHeight="1">
      <c r="I922" s="114"/>
    </row>
    <row r="923" spans="9:9" ht="14.25" customHeight="1">
      <c r="I923" s="114"/>
    </row>
    <row r="924" spans="9:9" ht="14.25" customHeight="1">
      <c r="I924" s="114"/>
    </row>
    <row r="925" spans="9:9" ht="14.25" customHeight="1">
      <c r="I925" s="114"/>
    </row>
    <row r="926" spans="9:9" ht="14.25" customHeight="1">
      <c r="I926" s="114"/>
    </row>
    <row r="927" spans="9:9" ht="14.25" customHeight="1">
      <c r="I927" s="114"/>
    </row>
    <row r="928" spans="9:9" ht="14.25" customHeight="1">
      <c r="I928" s="114"/>
    </row>
    <row r="929" spans="9:9" ht="14.25" customHeight="1">
      <c r="I929" s="114"/>
    </row>
    <row r="930" spans="9:9" ht="14.25" customHeight="1">
      <c r="I930" s="114"/>
    </row>
    <row r="931" spans="9:9" ht="14.25" customHeight="1">
      <c r="I931" s="114"/>
    </row>
    <row r="932" spans="9:9" ht="14.25" customHeight="1">
      <c r="I932" s="114"/>
    </row>
    <row r="933" spans="9:9" ht="14.25" customHeight="1">
      <c r="I933" s="114"/>
    </row>
    <row r="934" spans="9:9" ht="14.25" customHeight="1">
      <c r="I934" s="114"/>
    </row>
    <row r="935" spans="9:9" ht="14.25" customHeight="1">
      <c r="I935" s="114"/>
    </row>
    <row r="936" spans="9:9" ht="14.25" customHeight="1">
      <c r="I936" s="114"/>
    </row>
    <row r="937" spans="9:9" ht="14.25" customHeight="1">
      <c r="I937" s="114"/>
    </row>
    <row r="938" spans="9:9" ht="14.25" customHeight="1">
      <c r="I938" s="114"/>
    </row>
    <row r="939" spans="9:9" ht="14.25" customHeight="1">
      <c r="I939" s="114"/>
    </row>
    <row r="940" spans="9:9" ht="14.25" customHeight="1">
      <c r="I940" s="114"/>
    </row>
    <row r="941" spans="9:9" ht="14.25" customHeight="1">
      <c r="I941" s="114"/>
    </row>
    <row r="942" spans="9:9" ht="14.25" customHeight="1">
      <c r="I942" s="114"/>
    </row>
    <row r="943" spans="9:9" ht="14.25" customHeight="1">
      <c r="I943" s="114"/>
    </row>
    <row r="944" spans="9:9" ht="14.25" customHeight="1">
      <c r="I944" s="114"/>
    </row>
    <row r="945" spans="9:9" ht="14.25" customHeight="1">
      <c r="I945" s="114"/>
    </row>
    <row r="946" spans="9:9" ht="14.25" customHeight="1">
      <c r="I946" s="114"/>
    </row>
    <row r="947" spans="9:9" ht="14.25" customHeight="1">
      <c r="I947" s="114"/>
    </row>
    <row r="948" spans="9:9" ht="14.25" customHeight="1">
      <c r="I948" s="114"/>
    </row>
    <row r="949" spans="9:9" ht="14.25" customHeight="1">
      <c r="I949" s="114"/>
    </row>
    <row r="950" spans="9:9" ht="14.25" customHeight="1">
      <c r="I950" s="114"/>
    </row>
    <row r="951" spans="9:9" ht="14.25" customHeight="1">
      <c r="I951" s="114"/>
    </row>
    <row r="952" spans="9:9" ht="14.25" customHeight="1">
      <c r="I952" s="114"/>
    </row>
    <row r="953" spans="9:9" ht="14.25" customHeight="1">
      <c r="I953" s="114"/>
    </row>
    <row r="954" spans="9:9" ht="14.25" customHeight="1">
      <c r="I954" s="114"/>
    </row>
    <row r="955" spans="9:9" ht="14.25" customHeight="1">
      <c r="I955" s="114"/>
    </row>
    <row r="956" spans="9:9" ht="14.25" customHeight="1">
      <c r="I956" s="114"/>
    </row>
    <row r="957" spans="9:9" ht="14.25" customHeight="1">
      <c r="I957" s="114"/>
    </row>
    <row r="958" spans="9:9" ht="14.25" customHeight="1">
      <c r="I958" s="114"/>
    </row>
    <row r="959" spans="9:9" ht="14.25" customHeight="1">
      <c r="I959" s="114"/>
    </row>
    <row r="960" spans="9:9" ht="14.25" customHeight="1">
      <c r="I960" s="114"/>
    </row>
    <row r="961" spans="9:9" ht="14.25" customHeight="1">
      <c r="I961" s="114"/>
    </row>
    <row r="962" spans="9:9" ht="14.25" customHeight="1">
      <c r="I962" s="114"/>
    </row>
    <row r="963" spans="9:9" ht="14.25" customHeight="1">
      <c r="I963" s="114"/>
    </row>
    <row r="964" spans="9:9" ht="14.25" customHeight="1">
      <c r="I964" s="114"/>
    </row>
    <row r="965" spans="9:9" ht="14.25" customHeight="1">
      <c r="I965" s="114"/>
    </row>
    <row r="966" spans="9:9" ht="14.25" customHeight="1">
      <c r="I966" s="114"/>
    </row>
    <row r="967" spans="9:9" ht="14.25" customHeight="1">
      <c r="I967" s="114"/>
    </row>
    <row r="968" spans="9:9" ht="14.25" customHeight="1">
      <c r="I968" s="114"/>
    </row>
    <row r="969" spans="9:9" ht="14.25" customHeight="1">
      <c r="I969" s="114"/>
    </row>
    <row r="970" spans="9:9" ht="14.25" customHeight="1">
      <c r="I970" s="114"/>
    </row>
    <row r="971" spans="9:9" ht="14.25" customHeight="1">
      <c r="I971" s="114"/>
    </row>
    <row r="972" spans="9:9" ht="14.25" customHeight="1">
      <c r="I972" s="114"/>
    </row>
    <row r="973" spans="9:9" ht="14.25" customHeight="1">
      <c r="I973" s="114"/>
    </row>
    <row r="974" spans="9:9" ht="14.25" customHeight="1">
      <c r="I974" s="114"/>
    </row>
    <row r="975" spans="9:9" ht="14.25" customHeight="1">
      <c r="I975" s="114"/>
    </row>
    <row r="976" spans="9:9" ht="14.25" customHeight="1">
      <c r="I976" s="114"/>
    </row>
    <row r="977" spans="9:9" ht="14.25" customHeight="1">
      <c r="I977" s="114"/>
    </row>
    <row r="978" spans="9:9" ht="14.25" customHeight="1">
      <c r="I978" s="114"/>
    </row>
    <row r="979" spans="9:9" ht="14.25" customHeight="1">
      <c r="I979" s="114"/>
    </row>
    <row r="980" spans="9:9" ht="14.25" customHeight="1">
      <c r="I980" s="114"/>
    </row>
    <row r="981" spans="9:9" ht="14.25" customHeight="1">
      <c r="I981" s="114"/>
    </row>
    <row r="982" spans="9:9" ht="14.25" customHeight="1">
      <c r="I982" s="114"/>
    </row>
    <row r="983" spans="9:9" ht="14.25" customHeight="1">
      <c r="I983" s="114"/>
    </row>
    <row r="984" spans="9:9" ht="14.25" customHeight="1">
      <c r="I984" s="114"/>
    </row>
    <row r="985" spans="9:9" ht="14.25" customHeight="1">
      <c r="I985" s="114"/>
    </row>
    <row r="986" spans="9:9" ht="14.25" customHeight="1">
      <c r="I986" s="114"/>
    </row>
    <row r="987" spans="9:9" ht="14.25" customHeight="1">
      <c r="I987" s="114"/>
    </row>
    <row r="988" spans="9:9" ht="14.25" customHeight="1">
      <c r="I988" s="114"/>
    </row>
    <row r="989" spans="9:9" ht="14.25" customHeight="1">
      <c r="I989" s="114"/>
    </row>
  </sheetData>
  <mergeCells count="29">
    <mergeCell ref="D5:G5"/>
    <mergeCell ref="D6:G6"/>
    <mergeCell ref="D7:G7"/>
    <mergeCell ref="D11:I11"/>
    <mergeCell ref="I12:I13"/>
    <mergeCell ref="B2:C2"/>
    <mergeCell ref="D2:G2"/>
    <mergeCell ref="B3:C3"/>
    <mergeCell ref="D3:G3"/>
    <mergeCell ref="B4:C4"/>
    <mergeCell ref="D4:G4"/>
    <mergeCell ref="A31:H31"/>
    <mergeCell ref="B5:C5"/>
    <mergeCell ref="B6:C6"/>
    <mergeCell ref="B13:C13"/>
    <mergeCell ref="B14:C14"/>
    <mergeCell ref="B15:C15"/>
    <mergeCell ref="B16:C16"/>
    <mergeCell ref="B17:C17"/>
    <mergeCell ref="B18:C18"/>
    <mergeCell ref="B24:C24"/>
    <mergeCell ref="B25:C25"/>
    <mergeCell ref="B26:C26"/>
    <mergeCell ref="B27:C27"/>
    <mergeCell ref="L12:L13"/>
    <mergeCell ref="K12:K13"/>
    <mergeCell ref="B21:H21"/>
    <mergeCell ref="B22:C22"/>
    <mergeCell ref="B23:C23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S1000"/>
  <sheetViews>
    <sheetView workbookViewId="0"/>
  </sheetViews>
  <sheetFormatPr defaultColWidth="14.44140625" defaultRowHeight="15" customHeight="1"/>
  <cols>
    <col min="1" max="1" width="8.6640625" customWidth="1"/>
    <col min="2" max="2" width="15.6640625" customWidth="1"/>
    <col min="3" max="3" width="20.6640625" customWidth="1"/>
    <col min="4" max="26" width="8.6640625" customWidth="1"/>
  </cols>
  <sheetData>
    <row r="1" spans="2:19" ht="14.25" customHeight="1"/>
    <row r="2" spans="2:19" ht="14.25" customHeight="1">
      <c r="B2" s="29" t="s">
        <v>54</v>
      </c>
      <c r="C2" s="29">
        <f>'CO-PO Indirect Attainment'!D2</f>
        <v>0</v>
      </c>
      <c r="D2" s="29"/>
      <c r="E2" s="29"/>
      <c r="F2" s="29"/>
    </row>
    <row r="3" spans="2:19" ht="14.25" customHeight="1">
      <c r="B3" s="29" t="s">
        <v>56</v>
      </c>
      <c r="C3" s="29">
        <f>'CO-PO Indirect Attainment'!D3</f>
        <v>0</v>
      </c>
      <c r="D3" s="29"/>
      <c r="E3" s="29"/>
      <c r="F3" s="29"/>
    </row>
    <row r="4" spans="2:19" ht="14.25" customHeight="1">
      <c r="B4" s="29" t="s">
        <v>60</v>
      </c>
      <c r="C4" s="29">
        <f>'CO-PO Indirect Attainment'!D4</f>
        <v>0</v>
      </c>
      <c r="D4" s="29"/>
      <c r="E4" s="29"/>
      <c r="F4" s="29"/>
    </row>
    <row r="5" spans="2:19" ht="14.25" customHeight="1">
      <c r="B5" s="29" t="s">
        <v>64</v>
      </c>
      <c r="C5" s="38">
        <f>'CO-PO Indirect Attainment'!D5</f>
        <v>0</v>
      </c>
    </row>
    <row r="6" spans="2:19" ht="14.25" customHeight="1">
      <c r="B6" s="29" t="s">
        <v>65</v>
      </c>
      <c r="C6" s="29">
        <f>'CO-PO Indirect Attainment'!D6</f>
        <v>0</v>
      </c>
      <c r="D6" s="29"/>
      <c r="E6" s="29"/>
      <c r="F6" s="29"/>
    </row>
    <row r="7" spans="2:19" ht="14.25" customHeight="1"/>
    <row r="8" spans="2:19" ht="14.25" customHeight="1">
      <c r="B8" s="29" t="s">
        <v>151</v>
      </c>
    </row>
    <row r="9" spans="2:19" ht="14.25" customHeight="1">
      <c r="B9" s="160" t="s">
        <v>148</v>
      </c>
      <c r="C9" s="20" t="s">
        <v>149</v>
      </c>
      <c r="D9" s="61" t="s">
        <v>39</v>
      </c>
      <c r="E9" s="61" t="s">
        <v>40</v>
      </c>
      <c r="F9" s="61" t="s">
        <v>41</v>
      </c>
      <c r="G9" s="61" t="s">
        <v>42</v>
      </c>
      <c r="H9" s="61" t="s">
        <v>43</v>
      </c>
      <c r="I9" s="61" t="s">
        <v>74</v>
      </c>
      <c r="J9" s="61" t="s">
        <v>75</v>
      </c>
      <c r="K9" s="61" t="s">
        <v>76</v>
      </c>
      <c r="L9" s="61" t="s">
        <v>77</v>
      </c>
      <c r="M9" s="61" t="s">
        <v>78</v>
      </c>
      <c r="N9" s="61" t="s">
        <v>79</v>
      </c>
      <c r="O9" s="61" t="s">
        <v>80</v>
      </c>
      <c r="P9" s="61" t="s">
        <v>81</v>
      </c>
      <c r="Q9" s="61" t="s">
        <v>82</v>
      </c>
      <c r="R9" s="61" t="s">
        <v>83</v>
      </c>
      <c r="S9" s="61" t="s">
        <v>84</v>
      </c>
    </row>
    <row r="10" spans="2:19" ht="14.25" customHeight="1">
      <c r="B10" s="24">
        <f>$C$3</f>
        <v>0</v>
      </c>
      <c r="C10" s="22">
        <f>$C$2</f>
        <v>0</v>
      </c>
      <c r="D10" s="43" t="e">
        <f>'CO-PO Direct Attainment'!#REF!</f>
        <v>#REF!</v>
      </c>
      <c r="E10" s="43" t="e">
        <f>'CO-PO Direct Attainment'!#REF!</f>
        <v>#REF!</v>
      </c>
      <c r="F10" s="43" t="e">
        <f>'CO-PO Direct Attainment'!#REF!</f>
        <v>#REF!</v>
      </c>
      <c r="G10" s="43" t="e">
        <f>'CO-PO Direct Attainment'!#REF!</f>
        <v>#REF!</v>
      </c>
      <c r="H10" s="43" t="e">
        <f>'CO-PO Direct Attainment'!#REF!</f>
        <v>#REF!</v>
      </c>
      <c r="I10" s="43" t="e">
        <f>'CO-PO Direct Attainment'!#REF!</f>
        <v>#REF!</v>
      </c>
      <c r="J10" s="43" t="e">
        <f>'CO-PO Direct Attainment'!#REF!</f>
        <v>#REF!</v>
      </c>
      <c r="K10" s="43" t="e">
        <f>'CO-PO Direct Attainment'!#REF!</f>
        <v>#REF!</v>
      </c>
      <c r="L10" s="43" t="e">
        <f>'CO-PO Direct Attainment'!#REF!</f>
        <v>#REF!</v>
      </c>
      <c r="M10" s="43" t="e">
        <f>'CO-PO Direct Attainment'!#REF!</f>
        <v>#REF!</v>
      </c>
      <c r="N10" s="43" t="e">
        <f>'CO-PO Direct Attainment'!#REF!</f>
        <v>#REF!</v>
      </c>
      <c r="O10" s="43" t="e">
        <f>'CO-PO Direct Attainment'!#REF!</f>
        <v>#REF!</v>
      </c>
      <c r="P10" s="43" t="e">
        <f>'CO-PO Direct Attainment'!#REF!</f>
        <v>#REF!</v>
      </c>
      <c r="Q10" s="43" t="e">
        <f>'CO-PO Direct Attainment'!#REF!</f>
        <v>#REF!</v>
      </c>
      <c r="R10" s="43" t="e">
        <f>'CO-PO Direct Attainment'!#REF!</f>
        <v>#REF!</v>
      </c>
      <c r="S10" s="43" t="e">
        <f>'CO-PO Direct Attainment'!#REF!</f>
        <v>#REF!</v>
      </c>
    </row>
    <row r="11" spans="2:19" ht="14.25" customHeight="1"/>
    <row r="12" spans="2:19" ht="14.25" customHeight="1"/>
    <row r="13" spans="2:19" ht="14.25" customHeight="1">
      <c r="B13" s="29" t="s">
        <v>152</v>
      </c>
    </row>
    <row r="14" spans="2:19" ht="14.25" customHeight="1">
      <c r="B14" s="22"/>
      <c r="C14" s="22"/>
      <c r="D14" s="22"/>
      <c r="E14" s="22"/>
      <c r="F14" s="22"/>
      <c r="G14" s="22"/>
      <c r="H14" s="22"/>
      <c r="I14" s="156"/>
      <c r="J14" s="156"/>
      <c r="K14" s="156"/>
      <c r="L14" s="156"/>
      <c r="M14" s="156"/>
      <c r="N14" s="156"/>
      <c r="O14" s="156"/>
      <c r="P14" s="114"/>
    </row>
    <row r="15" spans="2:19" ht="14.25" customHeight="1">
      <c r="B15" s="160" t="s">
        <v>148</v>
      </c>
      <c r="C15" s="20" t="s">
        <v>149</v>
      </c>
      <c r="D15" s="61" t="s">
        <v>39</v>
      </c>
      <c r="E15" s="61" t="s">
        <v>40</v>
      </c>
      <c r="F15" s="61" t="s">
        <v>41</v>
      </c>
      <c r="G15" s="61" t="s">
        <v>42</v>
      </c>
      <c r="H15" s="61" t="s">
        <v>43</v>
      </c>
      <c r="I15" s="61" t="s">
        <v>74</v>
      </c>
      <c r="J15" s="61" t="s">
        <v>75</v>
      </c>
      <c r="K15" s="61" t="s">
        <v>76</v>
      </c>
      <c r="L15" s="61" t="s">
        <v>77</v>
      </c>
      <c r="M15" s="61" t="s">
        <v>78</v>
      </c>
      <c r="N15" s="61" t="s">
        <v>79</v>
      </c>
      <c r="O15" s="61" t="s">
        <v>80</v>
      </c>
      <c r="P15" s="61" t="s">
        <v>81</v>
      </c>
      <c r="Q15" s="61" t="s">
        <v>82</v>
      </c>
      <c r="R15" s="61" t="s">
        <v>83</v>
      </c>
      <c r="S15" s="61" t="s">
        <v>84</v>
      </c>
    </row>
    <row r="16" spans="2:19" ht="14.25" customHeight="1">
      <c r="B16" s="24">
        <f>$C$3</f>
        <v>0</v>
      </c>
      <c r="C16" s="22">
        <f>$C$2</f>
        <v>0</v>
      </c>
      <c r="D16" s="43" t="e">
        <f>'CO-PO Attainment Endsem'!D61</f>
        <v>#REF!</v>
      </c>
      <c r="E16" s="43" t="e">
        <f>'CO-PO Attainment Endsem'!E61</f>
        <v>#REF!</v>
      </c>
      <c r="F16" s="43" t="e">
        <f>'CO-PO Attainment Endsem'!F61</f>
        <v>#REF!</v>
      </c>
      <c r="G16" s="43" t="e">
        <f>'CO-PO Attainment Endsem'!G61</f>
        <v>#REF!</v>
      </c>
      <c r="H16" s="43" t="e">
        <f>'CO-PO Attainment Endsem'!H61</f>
        <v>#REF!</v>
      </c>
      <c r="I16" s="43" t="e">
        <f>'CO-PO Attainment Endsem'!I61</f>
        <v>#REF!</v>
      </c>
      <c r="J16" s="43" t="e">
        <f>'CO-PO Attainment Endsem'!J61</f>
        <v>#REF!</v>
      </c>
      <c r="K16" s="43" t="e">
        <f>'CO-PO Attainment Endsem'!K61</f>
        <v>#REF!</v>
      </c>
      <c r="L16" s="43" t="e">
        <f>'CO-PO Attainment Endsem'!L61</f>
        <v>#REF!</v>
      </c>
      <c r="M16" s="43" t="e">
        <f>'CO-PO Attainment Endsem'!M61</f>
        <v>#REF!</v>
      </c>
      <c r="N16" s="43" t="e">
        <f>'CO-PO Attainment Endsem'!N61</f>
        <v>#REF!</v>
      </c>
      <c r="O16" s="43" t="e">
        <f>'CO-PO Attainment Endsem'!O61</f>
        <v>#REF!</v>
      </c>
      <c r="P16" s="43" t="e">
        <f>'CO-PO Attainment Endsem'!P61</f>
        <v>#REF!</v>
      </c>
      <c r="Q16" s="43" t="e">
        <f>'CO-PO Attainment Endsem'!Q61</f>
        <v>#REF!</v>
      </c>
      <c r="R16" s="43" t="e">
        <f>'CO-PO Attainment Endsem'!R61</f>
        <v>#REF!</v>
      </c>
      <c r="S16" s="43" t="e">
        <f>'CO-PO Attainment Endsem'!S61</f>
        <v>#REF!</v>
      </c>
    </row>
    <row r="17" spans="2:19" ht="14.25" customHeight="1"/>
    <row r="18" spans="2:19" ht="14.25" customHeight="1"/>
    <row r="19" spans="2:19" ht="14.25" customHeight="1">
      <c r="B19" s="29" t="s">
        <v>163</v>
      </c>
    </row>
    <row r="20" spans="2:19" ht="14.25" customHeight="1">
      <c r="B20" s="160" t="s">
        <v>148</v>
      </c>
      <c r="C20" s="160" t="s">
        <v>149</v>
      </c>
      <c r="D20" s="61" t="s">
        <v>39</v>
      </c>
      <c r="E20" s="61" t="s">
        <v>40</v>
      </c>
      <c r="F20" s="61" t="s">
        <v>41</v>
      </c>
      <c r="G20" s="61" t="s">
        <v>42</v>
      </c>
      <c r="H20" s="61" t="s">
        <v>43</v>
      </c>
      <c r="I20" s="61" t="s">
        <v>74</v>
      </c>
      <c r="J20" s="61" t="s">
        <v>75</v>
      </c>
      <c r="K20" s="61" t="s">
        <v>76</v>
      </c>
      <c r="L20" s="61" t="s">
        <v>77</v>
      </c>
      <c r="M20" s="61" t="s">
        <v>78</v>
      </c>
      <c r="N20" s="61" t="s">
        <v>79</v>
      </c>
      <c r="O20" s="61" t="s">
        <v>80</v>
      </c>
      <c r="P20" s="61" t="s">
        <v>81</v>
      </c>
      <c r="Q20" s="61" t="s">
        <v>82</v>
      </c>
      <c r="R20" s="61" t="s">
        <v>83</v>
      </c>
      <c r="S20" s="61" t="s">
        <v>84</v>
      </c>
    </row>
    <row r="21" spans="2:19" ht="14.25" customHeight="1">
      <c r="B21" s="24">
        <f>$C$3</f>
        <v>0</v>
      </c>
      <c r="C21" s="22">
        <f>$C$2</f>
        <v>0</v>
      </c>
      <c r="D21" s="43">
        <f>'CO-PO Indirect Attainment'!D33</f>
        <v>2.4840000000000004</v>
      </c>
      <c r="E21" s="43">
        <f>'CO-PO Indirect Attainment'!E33</f>
        <v>2.4773333333333336</v>
      </c>
      <c r="F21" s="43">
        <f>'CO-PO Indirect Attainment'!F33</f>
        <v>2.4840000000000004</v>
      </c>
      <c r="G21" s="43">
        <f>'CO-PO Indirect Attainment'!G33</f>
        <v>2.4840000000000004</v>
      </c>
      <c r="H21" s="43">
        <f>'CO-PO Indirect Attainment'!H33</f>
        <v>2.5200000000000005</v>
      </c>
      <c r="I21" s="43" t="e">
        <f>'CO-PO Indirect Attainment'!#REF!</f>
        <v>#REF!</v>
      </c>
      <c r="J21" s="43" t="e">
        <f>'CO-PO Indirect Attainment'!#REF!</f>
        <v>#REF!</v>
      </c>
      <c r="K21" s="43" t="e">
        <f>'CO-PO Indirect Attainment'!#REF!</f>
        <v>#REF!</v>
      </c>
      <c r="L21" s="43" t="e">
        <f>'CO-PO Indirect Attainment'!#REF!</f>
        <v>#REF!</v>
      </c>
      <c r="M21" s="43" t="e">
        <f>'CO-PO Indirect Attainment'!#REF!</f>
        <v>#REF!</v>
      </c>
      <c r="N21" s="43" t="e">
        <f>'CO-PO Indirect Attainment'!#REF!</f>
        <v>#REF!</v>
      </c>
      <c r="O21" s="43" t="e">
        <f>'CO-PO Indirect Attainment'!#REF!</f>
        <v>#REF!</v>
      </c>
      <c r="P21" s="43" t="e">
        <f>'CO-PO Indirect Attainment'!#REF!</f>
        <v>#REF!</v>
      </c>
      <c r="Q21" s="43" t="e">
        <f>'CO-PO Indirect Attainment'!#REF!</f>
        <v>#REF!</v>
      </c>
      <c r="R21" s="43" t="e">
        <f>'CO-PO Indirect Attainment'!#REF!</f>
        <v>#REF!</v>
      </c>
      <c r="S21" s="43" t="e">
        <f>'CO-PO Indirect Attainment'!#REF!</f>
        <v>#REF!</v>
      </c>
    </row>
    <row r="22" spans="2:19" ht="14.25" customHeight="1"/>
    <row r="23" spans="2:19" ht="14.25" customHeight="1"/>
    <row r="24" spans="2:19" ht="14.25" customHeight="1">
      <c r="B24" s="29" t="s">
        <v>164</v>
      </c>
    </row>
    <row r="25" spans="2:19" ht="14.25" customHeight="1">
      <c r="B25" s="160" t="s">
        <v>148</v>
      </c>
      <c r="C25" s="160" t="s">
        <v>149</v>
      </c>
      <c r="D25" s="61" t="s">
        <v>39</v>
      </c>
      <c r="E25" s="61" t="s">
        <v>40</v>
      </c>
      <c r="F25" s="61" t="s">
        <v>41</v>
      </c>
      <c r="G25" s="61" t="s">
        <v>42</v>
      </c>
      <c r="H25" s="61" t="s">
        <v>43</v>
      </c>
      <c r="I25" s="61" t="s">
        <v>74</v>
      </c>
      <c r="J25" s="61" t="s">
        <v>75</v>
      </c>
      <c r="K25" s="61" t="s">
        <v>76</v>
      </c>
      <c r="L25" s="61" t="s">
        <v>77</v>
      </c>
      <c r="M25" s="61" t="s">
        <v>78</v>
      </c>
      <c r="N25" s="61" t="s">
        <v>79</v>
      </c>
      <c r="O25" s="61" t="s">
        <v>80</v>
      </c>
      <c r="P25" s="61" t="s">
        <v>81</v>
      </c>
      <c r="Q25" s="61" t="s">
        <v>82</v>
      </c>
      <c r="R25" s="61" t="s">
        <v>83</v>
      </c>
      <c r="S25" s="61" t="s">
        <v>84</v>
      </c>
    </row>
    <row r="26" spans="2:19" ht="14.25" customHeight="1">
      <c r="B26" s="24">
        <f>$C$3</f>
        <v>0</v>
      </c>
      <c r="C26" s="22">
        <f>$C$2</f>
        <v>0</v>
      </c>
      <c r="D26" s="43" t="e">
        <f t="shared" ref="D26:S26" si="0">(0.4*D10)+(0.4*D16)+(0.2*D21)</f>
        <v>#REF!</v>
      </c>
      <c r="E26" s="43" t="e">
        <f t="shared" si="0"/>
        <v>#REF!</v>
      </c>
      <c r="F26" s="43" t="e">
        <f t="shared" si="0"/>
        <v>#REF!</v>
      </c>
      <c r="G26" s="43" t="e">
        <f t="shared" si="0"/>
        <v>#REF!</v>
      </c>
      <c r="H26" s="43" t="e">
        <f t="shared" si="0"/>
        <v>#REF!</v>
      </c>
      <c r="I26" s="43" t="e">
        <f t="shared" si="0"/>
        <v>#REF!</v>
      </c>
      <c r="J26" s="43" t="e">
        <f t="shared" si="0"/>
        <v>#REF!</v>
      </c>
      <c r="K26" s="43" t="e">
        <f t="shared" si="0"/>
        <v>#REF!</v>
      </c>
      <c r="L26" s="43" t="e">
        <f t="shared" si="0"/>
        <v>#REF!</v>
      </c>
      <c r="M26" s="43" t="e">
        <f t="shared" si="0"/>
        <v>#REF!</v>
      </c>
      <c r="N26" s="43" t="e">
        <f t="shared" si="0"/>
        <v>#REF!</v>
      </c>
      <c r="O26" s="43" t="e">
        <f t="shared" si="0"/>
        <v>#REF!</v>
      </c>
      <c r="P26" s="43" t="e">
        <f t="shared" si="0"/>
        <v>#REF!</v>
      </c>
      <c r="Q26" s="43" t="e">
        <f t="shared" si="0"/>
        <v>#REF!</v>
      </c>
      <c r="R26" s="43" t="e">
        <f t="shared" si="0"/>
        <v>#REF!</v>
      </c>
      <c r="S26" s="43" t="e">
        <f t="shared" si="0"/>
        <v>#REF!</v>
      </c>
    </row>
    <row r="27" spans="2:19" ht="14.25" customHeight="1"/>
    <row r="28" spans="2:19" ht="14.25" customHeight="1"/>
    <row r="29" spans="2:19" ht="14.25" customHeight="1"/>
    <row r="30" spans="2:19" ht="14.25" customHeight="1"/>
    <row r="31" spans="2:19" ht="14.25" customHeight="1"/>
    <row r="32" spans="2:1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Step 1 - Assessment Plan</vt:lpstr>
      <vt:lpstr>Print Page</vt:lpstr>
      <vt:lpstr>Front page</vt:lpstr>
      <vt:lpstr>Step 3-Course - PO Mapping</vt:lpstr>
      <vt:lpstr>CO Assessment</vt:lpstr>
      <vt:lpstr>CO-PO Attainment Endsem</vt:lpstr>
      <vt:lpstr>CO-PO Direct Attainment</vt:lpstr>
      <vt:lpstr>Direct Attainment</vt:lpstr>
      <vt:lpstr>CO-PO Indirect Attainment</vt:lpstr>
      <vt:lpstr>FInal Attainment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S Nair</dc:creator>
  <cp:lastModifiedBy>Deepthi S Nair</cp:lastModifiedBy>
  <dcterms:created xsi:type="dcterms:W3CDTF">2006-09-16T00:00:00Z</dcterms:created>
  <dcterms:modified xsi:type="dcterms:W3CDTF">2026-03-19T05:25:53Z</dcterms:modified>
</cp:coreProperties>
</file>